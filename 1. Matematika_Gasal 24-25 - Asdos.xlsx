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matematika" sheetId="1" r:id="rId4"/>
    <sheet state="visible" name="Sheet1" sheetId="2" r:id="rId5"/>
  </sheets>
  <definedNames>
    <definedName hidden="1" name="Google_Sheet_Link_350815842">Sheet1!$C$3</definedName>
  </definedNames>
  <calcPr/>
  <extLst>
    <ext uri="GoogleSheetsCustomDataVersion2">
      <go:sheetsCustomData xmlns:go="http://customooxmlschemas.google.com/" r:id="rId6" roundtripDataChecksum="WOeeFn/guw4Vn/DHi+lAX4kdeMmByrpBtxmQuE7j1KY="/>
    </ext>
  </extLst>
</workbook>
</file>

<file path=xl/sharedStrings.xml><?xml version="1.0" encoding="utf-8"?>
<sst xmlns="http://schemas.openxmlformats.org/spreadsheetml/2006/main" count="965" uniqueCount="294">
  <si>
    <t>Jadwal Kuliah Semester Gasal 2024/2025</t>
  </si>
  <si>
    <t>SKPB - ITS</t>
  </si>
  <si>
    <t>SKPB, 28 Agustus 2024</t>
  </si>
  <si>
    <t>Kode MK</t>
  </si>
  <si>
    <t>Mata Kuliah</t>
  </si>
  <si>
    <t>SKS</t>
  </si>
  <si>
    <t>Sem</t>
  </si>
  <si>
    <t>Kel</t>
  </si>
  <si>
    <t>Nama Kelas SIAKAD</t>
  </si>
  <si>
    <t>Jumlah Mhs SIAKAD</t>
  </si>
  <si>
    <t xml:space="preserve">Kode Departemen
</t>
  </si>
  <si>
    <t>Hari / Pukul</t>
  </si>
  <si>
    <t>Ruang</t>
  </si>
  <si>
    <t>Lokasi Ruang</t>
  </si>
  <si>
    <t>Dosen Pembina</t>
  </si>
  <si>
    <t>Pertemuan</t>
  </si>
  <si>
    <t>Asisten</t>
  </si>
  <si>
    <t>Link WA Asisten</t>
  </si>
  <si>
    <t>SM234101</t>
  </si>
  <si>
    <t>Kalkulus 1</t>
  </si>
  <si>
    <t>Kal-1</t>
  </si>
  <si>
    <t>5012, 5014, 5016, 5017, 5049</t>
  </si>
  <si>
    <t>Selasa, Kamis; 07.00-08.40</t>
  </si>
  <si>
    <t>TW1-502</t>
  </si>
  <si>
    <t>Tower 1, lt. 5</t>
  </si>
  <si>
    <t>Drs. Suhud Wahyudi, M.Si.</t>
  </si>
  <si>
    <t xml:space="preserve">Michael Putra Nababan </t>
  </si>
  <si>
    <t>TW1-503</t>
  </si>
  <si>
    <t>Dr. Dieky Adzkiya, S.Si, M.Si / Mohamad Ilham Dwi Firmansyah, M. Mat.</t>
  </si>
  <si>
    <t>16/16</t>
  </si>
  <si>
    <t>1,5/1,5</t>
  </si>
  <si>
    <t xml:space="preserve">Dimas Setyo Asmoro </t>
  </si>
  <si>
    <t>TW1-505</t>
  </si>
  <si>
    <t>Ainun Kusnul Khotimah, M. Mat. / Prof. Dr. Dra. Mardlijah, M.T</t>
  </si>
  <si>
    <t>22/10</t>
  </si>
  <si>
    <t>2/1</t>
  </si>
  <si>
    <t>Mahendra Darmadiyaksa Fatah Hariyadi</t>
  </si>
  <si>
    <t>TW1-601</t>
  </si>
  <si>
    <t>Tower 1, lt. 6</t>
  </si>
  <si>
    <t>Drs. Sadjidon, M.Si</t>
  </si>
  <si>
    <t>Miftahul Huda</t>
  </si>
  <si>
    <t>TW1-602</t>
  </si>
  <si>
    <t>Sang Nyoman Agastya Mahesa Pranatha Kaler</t>
  </si>
  <si>
    <t>TW1-603</t>
  </si>
  <si>
    <t>Alvian Alif Hidayatullah, M. Mat./  Sena Safarina, S.Si, M.Sc, D.Sc</t>
  </si>
  <si>
    <t>Najwa Azalia Zakhia Musthofa</t>
  </si>
  <si>
    <t>TW1-605</t>
  </si>
  <si>
    <t>Raden Aurelius Andhika Viadinugroho, S.Si., M.Sc. / Dr. Darmaji,S.Si., MT.</t>
  </si>
  <si>
    <t>Muhammad Satria Rahman</t>
  </si>
  <si>
    <t>TW1-701</t>
  </si>
  <si>
    <t>Tower 1, lt. 7</t>
  </si>
  <si>
    <t>Dr. Tahiyatul Asfihani / Dra. Wahyu Fistia Doctorina, M.Si / Ridho Nur Rohman Wijaya, S.Mat., M. Mat.</t>
  </si>
  <si>
    <t>5/16/11</t>
  </si>
  <si>
    <t>0,5/1,5/1</t>
  </si>
  <si>
    <t>Aufa Al Musyarof</t>
  </si>
  <si>
    <t>≥3</t>
  </si>
  <si>
    <t>TW1-705</t>
  </si>
  <si>
    <t>Raden Aurelius Andhika Viadinugroho, S.Si., M.Sc / Dr. Darmaji,S.Si., MT.</t>
  </si>
  <si>
    <t>Farhan Rif'at Mauludani</t>
  </si>
  <si>
    <t>Kal-2</t>
  </si>
  <si>
    <t>5018, 5019, 5020, 5021, 5046</t>
  </si>
  <si>
    <t>Senin, Rabu; 07.00-08.40</t>
  </si>
  <si>
    <t>TW1-201</t>
  </si>
  <si>
    <t>Tower 1, lt. 2</t>
  </si>
  <si>
    <t>Drs. Sentot Didik Surjanto, M.Si / Muhammad Yusuf Hakim Widianto, S.Si., M.Si., M.Sc., Ph.D.</t>
  </si>
  <si>
    <t>TW1-202</t>
  </si>
  <si>
    <t>Amirul Hakam, S.Si., M.Si. / Dra. Laksmi Prita Wardani, M.Si.</t>
  </si>
  <si>
    <t>Muhammad Shafa Narariya</t>
  </si>
  <si>
    <t>TW1-203</t>
  </si>
  <si>
    <t>Dr. Dwi Ratna /Mohamad Ilham Dwi Firmansyah, M. Mat.</t>
  </si>
  <si>
    <t>10/22</t>
  </si>
  <si>
    <t>1/2</t>
  </si>
  <si>
    <t xml:space="preserve">Rizky Alviando </t>
  </si>
  <si>
    <t>TW1-205</t>
  </si>
  <si>
    <t>Dra. Nur Asiyah, M.Si</t>
  </si>
  <si>
    <t>Vishnu Krishna Darojati</t>
  </si>
  <si>
    <t>TW1-206</t>
  </si>
  <si>
    <t>Haritsa Dhiya Ulhaq</t>
  </si>
  <si>
    <t>TW1-301</t>
  </si>
  <si>
    <t>Tower 1, lt. 3</t>
  </si>
  <si>
    <t xml:space="preserve">Aditya Wahyudinanta </t>
  </si>
  <si>
    <t>TW1-302</t>
  </si>
  <si>
    <t>Drs. I.G.Ngurah Rai Usada, M.Si / Dr. Tahiyatul Asfihani, S.Si, M.Si</t>
  </si>
  <si>
    <t>27/5</t>
  </si>
  <si>
    <t>2,5/0,5</t>
  </si>
  <si>
    <t>Nadya Eka Sri Wulandari</t>
  </si>
  <si>
    <t>TW1-803</t>
  </si>
  <si>
    <t>Tower 1, lt. 8</t>
  </si>
  <si>
    <t>Ridho Nur Rohman Wijaya, S.Mat., M. Mat. / Drs. Suhud Wahyudi, M.Si.</t>
  </si>
  <si>
    <t>Dzaky Muhammad</t>
  </si>
  <si>
    <t>Kal-3</t>
  </si>
  <si>
    <t>5007, 5008, 5009, 5010, 5011, 5045, 5057</t>
  </si>
  <si>
    <t>Selasa, Kamis; 11.00-12.40</t>
  </si>
  <si>
    <t>Drs. Komar Baihaqi, M.Si / Ainun Kusnul Khotimah, M. Mat.</t>
  </si>
  <si>
    <t>Aulia Aisyah Harhary</t>
  </si>
  <si>
    <t>Drs. Iis Herisman, M.Sc.</t>
  </si>
  <si>
    <t>Junika Irdia Indi Astudin</t>
  </si>
  <si>
    <t>TW1-303</t>
  </si>
  <si>
    <t>Prof. Dr. Drs. Chairul Imron, MI.Komp.</t>
  </si>
  <si>
    <t>Triwanto</t>
  </si>
  <si>
    <t>TW1-305</t>
  </si>
  <si>
    <t>Dra. Laksmi Prita Wardani, M.Si.</t>
  </si>
  <si>
    <t>Mu'iza Kaba Latif</t>
  </si>
  <si>
    <t>TW1-306</t>
  </si>
  <si>
    <t>TW1-501</t>
  </si>
  <si>
    <t>Alvida Mustika Rukmi, S.Si, M.Si  / Raden Aurelius Andhika Viadinugroho, S.Si., M.Sc.</t>
  </si>
  <si>
    <t xml:space="preserve">Nur Millatul Af Idah </t>
  </si>
  <si>
    <t>Maulida Rahmi</t>
  </si>
  <si>
    <t>Prof. Dr.techn. Drs. Mohammad Isa Irawan, M.T</t>
  </si>
  <si>
    <t xml:space="preserve">Satrio Wicaksono Viernadi </t>
  </si>
  <si>
    <t>Dian Winda Setyawati,S.Si, M.Si</t>
  </si>
  <si>
    <t>Ahmad Hisbu Zakiyudin</t>
  </si>
  <si>
    <t>Drs. Sentot Didik Surjanto, M.Si</t>
  </si>
  <si>
    <t>Winda Nafiqih Irawan</t>
  </si>
  <si>
    <t>Dr. Drs. Mahmud Yunus, M.Si / Mohamad Ilham Dwi Firmansyah, M. Mat.</t>
  </si>
  <si>
    <t>Ridho Nur Rohman Wijaya, S.Mat., M. Mat. / Dr. Budi Setiyono, S.Si, MT</t>
  </si>
  <si>
    <t>Sharfina Ardhiyanti Anam</t>
  </si>
  <si>
    <t>Alvian Alif Hidayatullah, M. Mat. / Prof. Subchan, S.Si, M.Sc, Ph.D</t>
  </si>
  <si>
    <t>Abdillah Dwi Cahya</t>
  </si>
  <si>
    <t>Drs. Lukman Hanafi, M.Sc / Raden Aurelius Andhika Viadinugroho, S.Si., M.Sc.</t>
  </si>
  <si>
    <t>Early Feodora Shauzan</t>
  </si>
  <si>
    <t>5007, 5008, 5009, 5010, 5011, 5045</t>
  </si>
  <si>
    <t>TW1-802</t>
  </si>
  <si>
    <t>Dr. Imam Mukhlash, S.Si, MT</t>
  </si>
  <si>
    <t>Launiawati Julia Chandra</t>
  </si>
  <si>
    <t>Ainun Kusnul Khotimah, M. Mat. / Drs. Komar Baihaqi, M.Si</t>
  </si>
  <si>
    <t>Marcellius Fernando Robot</t>
  </si>
  <si>
    <t>Kal-4</t>
  </si>
  <si>
    <t>5001, 5002, 5003, 5004, 5005, 5006, 5050, 5052</t>
  </si>
  <si>
    <t>Selasa, Kamis; 13.30-15.10</t>
  </si>
  <si>
    <t>Prof. Dr. Basuki Widodo, M.Sc</t>
  </si>
  <si>
    <t xml:space="preserve">Nailus Syifa'i </t>
  </si>
  <si>
    <t>Erwin Tri Prasetya</t>
  </si>
  <si>
    <t>Dr. Dra. Rinurwati, M.Si</t>
  </si>
  <si>
    <t>William Alvin Lidjaja</t>
  </si>
  <si>
    <t>Raden Aurelius Andhika Viadinugroho, S.Si., M.Sc. /  Drs. Lukman Hanafi, M.Sc</t>
  </si>
  <si>
    <t>Andyka Nabil Putra</t>
  </si>
  <si>
    <t>Muhammad Yusuf Hakim Widianto, S.Si., M.Si., M.Sc., Ph.D. / Drs. Nurul Hidayat, M.Ikom</t>
  </si>
  <si>
    <t>Najwa Fadhilah</t>
  </si>
  <si>
    <t>Sunarsini, S.Si.M.Si / Mohamad Ilham Dwi Firmansyah, M. Mat.</t>
  </si>
  <si>
    <t>Ahmad Danial Alifi</t>
  </si>
  <si>
    <t>Andini Widya Hapsari</t>
  </si>
  <si>
    <t>Sena Safarina, S.Si., M.Sc., D.Sc. / Alvian Alif Hidayatullah, M. Mat.</t>
  </si>
  <si>
    <t xml:space="preserve">Muhammad Ali Alvis Salam </t>
  </si>
  <si>
    <t>Annash Ragil Putra Supartono</t>
  </si>
  <si>
    <t>Ainun Kusnul Khotimah, M. Mat. / Muhammad Iqbal, S.Si, M.Si, Ph.D</t>
  </si>
  <si>
    <t>Nathaniel Takeshi Inatori Lauw</t>
  </si>
  <si>
    <t>Dr. Budi Setiyono,S.Si., M.T / Drs. I.G.Ngurah Rai Usada, M.Si</t>
  </si>
  <si>
    <t>5/27</t>
  </si>
  <si>
    <t>0,5/1,5</t>
  </si>
  <si>
    <t>Alvida Mustika Rukmi, S.Si, M.Si / Amirul Hakam, S.Si, M.Si</t>
  </si>
  <si>
    <t xml:space="preserve">Ahmad Zaki Al Muntazhar </t>
  </si>
  <si>
    <t>Drs. Kamiran,M.Si</t>
  </si>
  <si>
    <t>TW1-801</t>
  </si>
  <si>
    <t>Dr. Valeriana Lukitosari, S.Si, M.T.</t>
  </si>
  <si>
    <t>Rosita Adelia Puspitasari</t>
  </si>
  <si>
    <t>Kal-5</t>
  </si>
  <si>
    <t>5022, 5023, 5024, 5025, 5027, 5048, 5053, 5054</t>
  </si>
  <si>
    <t>Selasa, Kamis; 09.00-10.40</t>
  </si>
  <si>
    <t>Muhammad Syahril Darmawan</t>
  </si>
  <si>
    <t>Muhammad Syifa`ul Mufid, S.Si., M.Si.</t>
  </si>
  <si>
    <t>Drs. Komar Baihaqi, M.Si / Alvian Alif Hidayatullah, M. Mat.</t>
  </si>
  <si>
    <t>Ainun Kusnul Khotimah, M. Mat. / Dian Winda Setyawati,S.Si, M.Si</t>
  </si>
  <si>
    <t>Teosofi Hidayah Agung</t>
  </si>
  <si>
    <t>Dian Winda Setyawati,S.Si, M.Si / Ainun Kusnul Khotimah, M. Mat.</t>
  </si>
  <si>
    <t>Mohammad Febryan Khamim</t>
  </si>
  <si>
    <t>Muhammad Iqbal, S.Si, M.Si, Ph.D</t>
  </si>
  <si>
    <t>FAIRUUZ NURDIAZ AMAANULLAH</t>
  </si>
  <si>
    <t xml:space="preserve">Rayhan Habib Bachtiar </t>
  </si>
  <si>
    <t>Ridho Nur Rohman Wijaya, S.Mat., M. Mat. / Dr. Tahiyatul Asfihani, S.Si., M.Si.</t>
  </si>
  <si>
    <t>Zhana Nur Asmi Qamara</t>
  </si>
  <si>
    <t>Drs. Kamiran, M.Si</t>
  </si>
  <si>
    <t>Drs. I.G.Ngurah Rai Usada, M.Si / Dr. Sunarsini, S.Si, M.Si</t>
  </si>
  <si>
    <t>1,5/0,5</t>
  </si>
  <si>
    <t>Andhika Farikh Hernando</t>
  </si>
  <si>
    <t>Dra. Wahyu Fistia Doctorina, M.Si / Dr. Imam Mukhlash, S.Si, MT</t>
  </si>
  <si>
    <t xml:space="preserve">Ananda Teguh Imawan </t>
  </si>
  <si>
    <t>Dr. Tahiyatul Asfihani, S.Si., M.Si./Ridho Nur Rohman Wijaya, S.Mat., M. Mat.</t>
  </si>
  <si>
    <t>SM234152</t>
  </si>
  <si>
    <t>Matematika</t>
  </si>
  <si>
    <t>MT-6</t>
  </si>
  <si>
    <t>5026, 5031, 5033, 5056</t>
  </si>
  <si>
    <t>Senin, 11.00-12.40</t>
  </si>
  <si>
    <t xml:space="preserve">Drs. Iis Herisman, M.Sc. </t>
  </si>
  <si>
    <t xml:space="preserve">Dr. Darmaji, S.Si, M.T / Raden Aurelius Andhika Viadinugroho, S.Si., M.Sc. </t>
  </si>
  <si>
    <t>8/8</t>
  </si>
  <si>
    <t>1/1</t>
  </si>
  <si>
    <t>Dra. Dra. Nur Asiyah, M.Si, M.Si</t>
  </si>
  <si>
    <t>Drs. Nurul Hidayat, M.Ikom</t>
  </si>
  <si>
    <t>Drs. Lukman Hanafi, M.Sc</t>
  </si>
  <si>
    <t>Dr. Budi Setiyono,S.Si., M.T / Alvian Alif Hidayatullah, M. Mat.</t>
  </si>
  <si>
    <t>SM234151</t>
  </si>
  <si>
    <t>MT-7</t>
  </si>
  <si>
    <t>5051, Mhs Ulang</t>
  </si>
  <si>
    <t>Senin, Rabu; 13.30-15.10</t>
  </si>
  <si>
    <t>Dr. Tahiyatul Asfihani, S.Si., M.Si. / Alvian Alif Hidayatullah, M. Mat.</t>
  </si>
  <si>
    <t>Mhs Ulang</t>
  </si>
  <si>
    <t>Dr. Didik Khusnul Arif, S.Si, M.Si</t>
  </si>
  <si>
    <t>Muchammad Ainun Febriansyah</t>
  </si>
  <si>
    <t>TW1-806</t>
  </si>
  <si>
    <t>Ridho Nur Rohman Wijaya, S.Mat., M. Mat. / Dr. Dwi Ratna Sulistyaningrum, S.Si, MT</t>
  </si>
  <si>
    <t>Muhammad Zikri Ramadhan</t>
  </si>
  <si>
    <t>SM234201</t>
  </si>
  <si>
    <t>Kalkulus 2</t>
  </si>
  <si>
    <t>Ulang</t>
  </si>
  <si>
    <t>Senin, Rabu; 15.30-17.10</t>
  </si>
  <si>
    <t>Drs. Drs. Kamiran,M.Si,M.Si</t>
  </si>
  <si>
    <t>Ridho Nur Rohman Wijaya, S.Mat., M. Mat. /Dr. Valeriana Lukitosari, S.Si, M.T.</t>
  </si>
  <si>
    <t xml:space="preserve">22/10 </t>
  </si>
  <si>
    <t>Alvian Alif Hidayatullah, M. Mat. / Dr. Drs. Bandung Ary Sanjaya, M.Ikomp</t>
  </si>
  <si>
    <t>Ainun Kusnul Khotimah, M. Mat. / Drs. Sadjidon, M.Si</t>
  </si>
  <si>
    <t>Raden Aurelius Andhika Viadinugroho, S.Si., M.Sc. /Soleha, S.Si, M.Si</t>
  </si>
  <si>
    <t>Dr. Darmaji, S.Si, M.T / Mohamad Ilham Dwi Firmansyah, M. Mat.</t>
  </si>
  <si>
    <t>Mata Kuliah IUP</t>
  </si>
  <si>
    <t>Kode Departemen</t>
  </si>
  <si>
    <t>Link WA</t>
  </si>
  <si>
    <t>Kal-iup-1</t>
  </si>
  <si>
    <t>5003, 5022, 5025</t>
  </si>
  <si>
    <t>TW1-606</t>
  </si>
  <si>
    <t>TW1-706</t>
  </si>
  <si>
    <t>Dr. Valeriana Lukitosari, M.T.</t>
  </si>
  <si>
    <t>Kal-iup-2</t>
  </si>
  <si>
    <t>5018, 5018JD, 5019JD</t>
  </si>
  <si>
    <t>Senin, Rabu; 09.00-10.40</t>
  </si>
  <si>
    <t>TW1-506</t>
  </si>
  <si>
    <t xml:space="preserve">Dr. Dieky Adzkiya, S.Si, M.Si </t>
  </si>
  <si>
    <t>Endah Rokhmati Merdika Putri, S.Si.M.Si., Ph.D/ M. Yusuf Hakim Widianto, S.Si., M. Si., M.Sc., Ph.D</t>
  </si>
  <si>
    <t>Kal-iup-3</t>
  </si>
  <si>
    <t>5012, 5014, 5016, 5017</t>
  </si>
  <si>
    <t>Galih Indra Permana Rohadi</t>
  </si>
  <si>
    <t>Kal-iup-4</t>
  </si>
  <si>
    <t>5007, 5008, 5009, 5010, 5011</t>
  </si>
  <si>
    <t>Sena Safarina, S.Si., M.Sc., D.Sc.</t>
  </si>
  <si>
    <t>Endah Rokhmati Merdika Putri, S.Si.M.Si., Ph.D /Muhammad Iqbal, S.Si, M.Si, Ph.D</t>
  </si>
  <si>
    <t>M2-5iup</t>
  </si>
  <si>
    <t>5026, 5031</t>
  </si>
  <si>
    <t>Rabu, 11.00-12.40</t>
  </si>
  <si>
    <t>Muhammad Yusuf Hakim Widianto, S.Si., M.Si., M.Sc., Ph.D. / Soleha, S.Si., M.Si.</t>
  </si>
  <si>
    <t>TW1-304</t>
  </si>
  <si>
    <t>Selasa, Kamis; 15.30-17.10</t>
  </si>
  <si>
    <t>Dr. Dieky Adzkiya, S.Si, M.Si</t>
  </si>
  <si>
    <t>https://api.whatsapp.com/send?phone=6282257622058&amp;text=Ahmad Hisbu Zakiyudin</t>
  </si>
  <si>
    <t>https://api.whatsapp.com/send?phone=+6282252248992&amp;text=Ahmad Zaki Al Muntazhar</t>
  </si>
  <si>
    <t>https://api.whatsapp.com/send?phone=+6287869023000&amp;text=Junika Irdia Indi Astudin</t>
  </si>
  <si>
    <t>https://api.whatsapp.com/send?phone=+6285816644574&amp;text=Nur Millatul Af Idah</t>
  </si>
  <si>
    <t>https://api.whatsapp.com/send?phone=+6287761095810&amp;text=Miftahul Huda</t>
  </si>
  <si>
    <t>https://api.whatsapp.com/send?phone=+6281216000286&amp;text=Abdillah Dwi Cahya</t>
  </si>
  <si>
    <t>https://api.whatsapp.com/send?phone=+6282143485360&amp;text=Mu'iza Kaba Latif</t>
  </si>
  <si>
    <t>https://api.whatsapp.com/send?phone=+6282348025537&amp;text=Najwa Fadhilah</t>
  </si>
  <si>
    <t>https://api.whatsapp.com/send?phone=+6285728846625&amp;text=Triwanto</t>
  </si>
  <si>
    <t>https://api.whatsapp.com/send?phone=+6282229072197&amp;text=Vishnu Krishna Darojati</t>
  </si>
  <si>
    <t>https://api.whatsapp.com/send?phone=+6282237235004&amp;text=Aditya Wahyudinanta</t>
  </si>
  <si>
    <t>https://api.whatsapp.com/send?phone=+6285156764136&amp;text=Ananda Teguh Imawan</t>
  </si>
  <si>
    <t>https://api.whatsapp.com/send?phone=+6285745106074&amp;text=Muhammad Ali Alvis Salam</t>
  </si>
  <si>
    <t>https://api.whatsapp.com/send?phone=+6289506416314&amp;text=Marcellius Fernando Robot</t>
  </si>
  <si>
    <t>https://api.whatsapp.com/send?phone=+6281357440027&amp;text=Rizky Alviando</t>
  </si>
  <si>
    <t>https://api.whatsapp.com/send?phone=+6281239214022&amp;text=Sang Nyoman Agastya Mahesa Pranatha Kaler</t>
  </si>
  <si>
    <t>https://api.whatsapp.com/send?phone=+6281334697827&amp;text=Dzaky Muhammad</t>
  </si>
  <si>
    <t>https://api.whatsapp.com/send?phone=+62895337825828&amp;text=Nathaniel Takeshi Inatori Lauw</t>
  </si>
  <si>
    <t>https://api.whatsapp.com/send?phone=+6281936963286&amp;text=Haritsa Dhiya Ulhaq</t>
  </si>
  <si>
    <t>https://api.whatsapp.com/send?phone=+6282331754795&amp;text=Muhammad Syahril Darmawan</t>
  </si>
  <si>
    <t>https://api.whatsapp.com/send?phone=+6281290730071 &amp;text=Rayhan Habib Bachtiar</t>
  </si>
  <si>
    <t>https://api.whatsapp.com/send?phone=+6285803431940&amp;text=Ahmad Danial Alifi</t>
  </si>
  <si>
    <t>https://api.whatsapp.com/send?phone=+6288996992515&amp;text=Farhan Rif'at Mauludani</t>
  </si>
  <si>
    <t>https://api.whatsapp.com/send?phone=+6288217508847&amp;text=Nailus Syifa'i</t>
  </si>
  <si>
    <t>https://api.whatsapp.com/send?phone=+6282228904558&amp;text=Nadya Eka Sri Wulandari</t>
  </si>
  <si>
    <t>https://api.whatsapp.com/send?phone=+6281350695485&amp;text=Muhammad Satria Rahman</t>
  </si>
  <si>
    <t>https://api.whatsapp.com/send?phone=+6282230495859&amp;text=Satrio Wicaksono Viernadi</t>
  </si>
  <si>
    <t>https://api.whatsapp.com/send?phone=+6285882676920&amp;text=Michael Putra Nababan</t>
  </si>
  <si>
    <t>https://api.whatsapp.com/send?phone=+6282141070692&amp;text=Launiawati Julia Chandra</t>
  </si>
  <si>
    <t>https://api.whatsapp.com/send?phone=+6285784303063&amp;text=Mahendra Darmadiyaksa Fatah Hariyadi</t>
  </si>
  <si>
    <t>https://api.whatsapp.com/send?phone=+628990413748&amp;text=Muhammad Zikri Ramadhan</t>
  </si>
  <si>
    <t>https://api.whatsapp.com/send?phone=+628984865020&amp;text=Andini Widya Hapsari</t>
  </si>
  <si>
    <t>https://api.whatsapp.com/send?phone=+6285843779154&amp;text=Rosita Adelia Puspitasari</t>
  </si>
  <si>
    <t>https://api.whatsapp.com/send?phone=+6289619968443&amp;text=Annash Ragil Putra Supartono</t>
  </si>
  <si>
    <t>https://api.whatsapp.com/send?phone=+628113296665&amp;text=Muhammad Shafa Narariya</t>
  </si>
  <si>
    <t>https://api.whatsapp.com/send?phone=+6285335046886&amp;text=Najwa Azalia Zakhia Musthofa</t>
  </si>
  <si>
    <t>https://api.whatsapp.com/send?phone=+6281232029829&amp;text=Dimas Setyo Asmoro</t>
  </si>
  <si>
    <t>https://api.whatsapp.com/send?phone=+6281334803231&amp;text=Muchammad Ainun Febriansyah</t>
  </si>
  <si>
    <t>https://api.whatsapp.com/send?phone=+6289639069090&amp;text=Mohammad Febryan Khamim</t>
  </si>
  <si>
    <t>https://api.whatsapp.com/send?phone=+6282277616063&amp;text=Maulida Rahmi</t>
  </si>
  <si>
    <t>https://api.whatsapp.com/send?phone=+6282141848093&amp;text=William Alvin Lidjaja</t>
  </si>
  <si>
    <t>https://api.whatsapp.com/send?phone=+6287856684717&amp;text=Zhana Nur Asmi Qamara</t>
  </si>
  <si>
    <t>https://api.whatsapp.com/send?phone=+6281218433735&amp;text=Winda Nafiqih Irawan</t>
  </si>
  <si>
    <t>https://api.whatsapp.com/send?phone=+6282234253231&amp;text=FAIRUUZ NURDIAZ AMAANULLAH</t>
  </si>
  <si>
    <t>https://api.whatsapp.com/send?phone=+6285853708597&amp;text=Teosofi Hidayah Agung</t>
  </si>
  <si>
    <t>https://api.whatsapp.com/send?phone=+6281252682776&amp;text=Aufa Al Musyarof</t>
  </si>
  <si>
    <t>https://api.whatsapp.com/send?phone=+6281230172459&amp;text=Andyka Nabil Putra</t>
  </si>
  <si>
    <t>https://api.whatsapp.com/send?phone=+6281217860406&amp;text=Aulia Aisyah Harhary</t>
  </si>
  <si>
    <t>https://api.whatsapp.com/send?phone=+6285158382355&amp;text=Sharfina Ardhiyanti Anam</t>
  </si>
  <si>
    <t>https://api.whatsapp.com/send?phone=+6282292454509&amp;text=Early Feodora Shauzan</t>
  </si>
  <si>
    <t>https://api.whatsapp.com/send?phone=+6288228724104&amp;text=Galih Indra Permana Rohadi</t>
  </si>
  <si>
    <t>https://api.whatsapp.com/send?phone=+6285335036452&amp;text=Andhika Farikh Hernando</t>
  </si>
  <si>
    <t>https://api.whatsapp.com/send?phone=+6285648740749&amp;text=Erwin Tri Prasetya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</si>
</sst>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1.0"/>
      <color theme="1"/>
      <name val="Calibri"/>
      <scheme val="minor"/>
    </font>
    <font>
      <b/>
      <sz val="14.0"/>
      <color theme="1"/>
      <name val="Arial Narrow"/>
    </font>
    <font>
      <b/>
      <sz val="11.0"/>
      <color theme="1"/>
      <name val="Arial Narrow"/>
    </font>
    <font>
      <b/>
      <sz val="10.0"/>
      <color theme="1"/>
      <name val="Arial Narrow"/>
    </font>
    <font>
      <sz val="11.0"/>
      <color theme="1"/>
      <name val="Arial Narrow"/>
    </font>
    <font>
      <sz val="12.0"/>
      <color theme="1"/>
      <name val="Arial Narrow"/>
    </font>
    <font>
      <b/>
      <sz val="12.0"/>
      <color theme="1"/>
      <name val="Arial Narrow"/>
    </font>
    <font>
      <sz val="10.0"/>
      <color theme="1"/>
      <name val="Arial Narrow"/>
    </font>
    <font>
      <color theme="1"/>
      <name val="Arial Narrow"/>
    </font>
    <font>
      <u/>
      <color rgb="FF0000FF"/>
      <name val="Arial Narrow"/>
    </font>
    <font/>
    <font>
      <sz val="11.0"/>
      <color rgb="FF000000"/>
      <name val="Arial Narrow"/>
    </font>
    <font>
      <sz val="11.0"/>
      <color rgb="FFFF0000"/>
      <name val="Arial Narrow"/>
    </font>
    <font>
      <b/>
      <sz val="11.0"/>
      <color rgb="FFFF0000"/>
      <name val="Arial Narrow"/>
    </font>
    <font>
      <sz val="10.0"/>
      <color rgb="FFFF0000"/>
      <name val="Arial Narrow"/>
    </font>
    <font>
      <sz val="12.0"/>
      <color rgb="FFFF0000"/>
      <name val="Arial Narrow"/>
    </font>
    <font>
      <sz val="11.0"/>
      <color rgb="FF0070C0"/>
      <name val="Arial Narrow"/>
    </font>
    <font>
      <b/>
      <sz val="11.0"/>
      <color rgb="FF0070C0"/>
      <name val="Arial Narrow"/>
    </font>
    <font>
      <sz val="10.0"/>
      <color rgb="FF0070C0"/>
      <name val="Arial Narrow"/>
    </font>
    <font>
      <sz val="12.0"/>
      <color rgb="FF0070C0"/>
      <name val="Arial Narrow"/>
    </font>
    <font>
      <i/>
      <sz val="11.0"/>
      <color rgb="FF0070C0"/>
      <name val="Arial Narrow"/>
    </font>
    <font>
      <b/>
      <i/>
      <u/>
      <sz val="11.0"/>
      <color theme="1"/>
      <name val="Arial Narrow"/>
    </font>
    <font>
      <b/>
      <u/>
      <sz val="11.0"/>
      <color theme="1"/>
      <name val="Arial Narrow"/>
    </font>
    <font>
      <sz val="11.0"/>
      <color rgb="FF7030A0"/>
      <name val="Arial Narrow"/>
    </font>
    <font>
      <b/>
      <sz val="11.0"/>
      <color rgb="FF7030A0"/>
      <name val="Arial Narrow"/>
    </font>
    <font>
      <sz val="10.0"/>
      <color rgb="FF7030A0"/>
      <name val="Arial Narrow"/>
    </font>
    <font>
      <b/>
      <u/>
      <sz val="11.0"/>
      <color rgb="FF7030A0"/>
      <name val="Arial Narrow"/>
    </font>
    <font>
      <i/>
      <sz val="11.0"/>
      <color theme="1"/>
      <name val="Arial Narrow"/>
    </font>
    <font>
      <color theme="1"/>
      <name val="Calibri"/>
      <scheme val="minor"/>
    </font>
    <font>
      <color theme="1"/>
      <name val="Arial"/>
    </font>
    <font>
      <u/>
      <color rgb="FF1155CC"/>
      <name val="Arial"/>
    </font>
    <font>
      <u/>
      <color rgb="FF0000FF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E5DFEC"/>
        <bgColor rgb="FFE5DFEC"/>
      </patternFill>
    </fill>
  </fills>
  <borders count="23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/>
      <right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bottom/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1" fillId="2" fontId="4" numFmtId="0" xfId="0" applyAlignment="1" applyBorder="1" applyFont="1">
      <alignment horizontal="center" vertical="center"/>
    </xf>
    <xf borderId="1" fillId="2" fontId="4" numFmtId="0" xfId="0" applyAlignment="1" applyBorder="1" applyFont="1">
      <alignment shrinkToFit="0" vertical="center" wrapText="1"/>
    </xf>
    <xf borderId="1" fillId="2" fontId="5" numFmtId="49" xfId="0" applyAlignment="1" applyBorder="1" applyFont="1" applyNumberForma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3" fontId="2" numFmtId="0" xfId="0" applyAlignment="1" applyBorder="1" applyFill="1" applyFont="1">
      <alignment horizontal="center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3" fillId="2" fontId="2" numFmtId="0" xfId="0" applyAlignment="1" applyBorder="1" applyFont="1">
      <alignment horizontal="center" shrinkToFit="0" vertical="center" wrapText="1"/>
    </xf>
    <xf borderId="3" fillId="3" fontId="3" numFmtId="0" xfId="0" applyAlignment="1" applyBorder="1" applyFont="1">
      <alignment horizontal="center" vertical="center"/>
    </xf>
    <xf borderId="4" fillId="3" fontId="6" numFmtId="49" xfId="0" applyAlignment="1" applyBorder="1" applyFont="1" applyNumberFormat="1">
      <alignment horizontal="center" shrinkToFit="0" vertical="center" wrapText="1"/>
    </xf>
    <xf borderId="3" fillId="3" fontId="6" numFmtId="49" xfId="0" applyAlignment="1" applyBorder="1" applyFont="1" applyNumberFormat="1">
      <alignment horizontal="center" vertical="center"/>
    </xf>
    <xf borderId="3" fillId="3" fontId="2" numFmtId="0" xfId="0" applyAlignment="1" applyBorder="1" applyFont="1">
      <alignment horizontal="center" vertical="center"/>
    </xf>
    <xf borderId="3" fillId="3" fontId="2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vertical="center"/>
    </xf>
    <xf borderId="5" fillId="2" fontId="4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vertical="center"/>
    </xf>
    <xf borderId="6" fillId="2" fontId="4" numFmtId="0" xfId="0" applyAlignment="1" applyBorder="1" applyFont="1">
      <alignment horizontal="center" vertical="center"/>
    </xf>
    <xf borderId="6" fillId="2" fontId="7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shrinkToFit="0" vertical="center" wrapText="1"/>
    </xf>
    <xf borderId="4" fillId="2" fontId="5" numFmtId="49" xfId="0" applyAlignment="1" applyBorder="1" applyFont="1" applyNumberFormat="1">
      <alignment horizontal="center" vertical="center"/>
    </xf>
    <xf borderId="3" fillId="2" fontId="5" numFmtId="49" xfId="0" applyAlignment="1" applyBorder="1" applyFont="1" applyNumberFormat="1">
      <alignment horizontal="center" vertical="center"/>
    </xf>
    <xf borderId="7" fillId="4" fontId="8" numFmtId="0" xfId="0" applyAlignment="1" applyBorder="1" applyFill="1" applyFont="1">
      <alignment readingOrder="0"/>
    </xf>
    <xf borderId="3" fillId="4" fontId="9" numFmtId="0" xfId="0" applyAlignment="1" applyBorder="1" applyFont="1">
      <alignment horizontal="center"/>
    </xf>
    <xf borderId="8" fillId="0" fontId="10" numFmtId="0" xfId="0" applyBorder="1" applyFont="1"/>
    <xf borderId="7" fillId="5" fontId="8" numFmtId="0" xfId="0" applyAlignment="1" applyBorder="1" applyFill="1" applyFont="1">
      <alignment readingOrder="0"/>
    </xf>
    <xf borderId="3" fillId="4" fontId="8" numFmtId="0" xfId="0" applyBorder="1" applyFont="1"/>
    <xf borderId="3" fillId="2" fontId="11" numFmtId="0" xfId="0" applyAlignment="1" applyBorder="1" applyFont="1">
      <alignment shrinkToFit="0" vertical="center" wrapText="1"/>
    </xf>
    <xf borderId="9" fillId="2" fontId="5" numFmtId="49" xfId="0" applyAlignment="1" applyBorder="1" applyFont="1" applyNumberFormat="1">
      <alignment horizontal="center" vertical="center"/>
    </xf>
    <xf borderId="7" fillId="4" fontId="8" numFmtId="0" xfId="0" applyBorder="1" applyFont="1"/>
    <xf borderId="7" fillId="5" fontId="8" numFmtId="0" xfId="0" applyBorder="1" applyFont="1"/>
    <xf borderId="3" fillId="2" fontId="7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center" vertical="center"/>
    </xf>
    <xf borderId="10" fillId="0" fontId="10" numFmtId="0" xfId="0" applyBorder="1" applyFont="1"/>
    <xf borderId="3" fillId="2" fontId="13" numFmtId="0" xfId="0" applyAlignment="1" applyBorder="1" applyFont="1">
      <alignment horizontal="center" vertical="center"/>
    </xf>
    <xf borderId="3" fillId="2" fontId="14" numFmtId="0" xfId="0" applyAlignment="1" applyBorder="1" applyFont="1">
      <alignment horizontal="center" shrinkToFit="0" vertical="center" wrapText="1"/>
    </xf>
    <xf borderId="4" fillId="2" fontId="12" numFmtId="0" xfId="0" applyAlignment="1" applyBorder="1" applyFont="1">
      <alignment horizontal="center" vertical="center"/>
    </xf>
    <xf borderId="3" fillId="2" fontId="12" numFmtId="0" xfId="0" applyAlignment="1" applyBorder="1" applyFont="1">
      <alignment shrinkToFit="0" vertical="center" wrapText="1"/>
    </xf>
    <xf borderId="9" fillId="2" fontId="15" numFmtId="49" xfId="0" applyAlignment="1" applyBorder="1" applyFont="1" applyNumberFormat="1">
      <alignment horizontal="center" vertical="center"/>
    </xf>
    <xf borderId="3" fillId="2" fontId="15" numFmtId="49" xfId="0" applyAlignment="1" applyBorder="1" applyFont="1" applyNumberFormat="1">
      <alignment horizontal="center" vertical="center"/>
    </xf>
    <xf borderId="3" fillId="2" fontId="7" numFmtId="0" xfId="0" applyAlignment="1" applyBorder="1" applyFont="1">
      <alignment readingOrder="0" vertical="center"/>
    </xf>
    <xf borderId="3" fillId="2" fontId="16" numFmtId="0" xfId="0" applyAlignment="1" applyBorder="1" applyFont="1">
      <alignment horizontal="center" vertical="center"/>
    </xf>
    <xf borderId="5" fillId="2" fontId="16" numFmtId="0" xfId="0" applyAlignment="1" applyBorder="1" applyFont="1">
      <alignment horizontal="center" shrinkToFit="0" vertical="center" wrapText="1"/>
    </xf>
    <xf borderId="3" fillId="2" fontId="17" numFmtId="0" xfId="0" applyAlignment="1" applyBorder="1" applyFont="1">
      <alignment horizontal="center" vertical="center"/>
    </xf>
    <xf borderId="3" fillId="2" fontId="18" numFmtId="0" xfId="0" applyAlignment="1" applyBorder="1" applyFont="1">
      <alignment horizontal="center" shrinkToFit="0" vertical="center" wrapText="1"/>
    </xf>
    <xf borderId="4" fillId="2" fontId="16" numFmtId="0" xfId="0" applyAlignment="1" applyBorder="1" applyFont="1">
      <alignment horizontal="center" vertical="center"/>
    </xf>
    <xf borderId="3" fillId="2" fontId="16" numFmtId="0" xfId="0" applyAlignment="1" applyBorder="1" applyFont="1">
      <alignment shrinkToFit="0" vertical="center" wrapText="1"/>
    </xf>
    <xf borderId="9" fillId="2" fontId="19" numFmtId="49" xfId="0" applyAlignment="1" applyBorder="1" applyFont="1" applyNumberFormat="1">
      <alignment horizontal="center" vertical="center"/>
    </xf>
    <xf borderId="3" fillId="2" fontId="19" numFmtId="49" xfId="0" applyAlignment="1" applyBorder="1" applyFont="1" applyNumberFormat="1">
      <alignment horizontal="center" vertical="center"/>
    </xf>
    <xf borderId="5" fillId="2" fontId="4" numFmtId="0" xfId="0" applyAlignment="1" applyBorder="1" applyFont="1">
      <alignment horizontal="center" shrinkToFit="0" vertical="center" wrapText="1"/>
    </xf>
    <xf borderId="11" fillId="4" fontId="8" numFmtId="0" xfId="0" applyBorder="1" applyFont="1"/>
    <xf borderId="12" fillId="0" fontId="10" numFmtId="0" xfId="0" applyBorder="1" applyFont="1"/>
    <xf borderId="13" fillId="2" fontId="19" numFmtId="49" xfId="0" applyAlignment="1" applyBorder="1" applyFont="1" applyNumberFormat="1">
      <alignment horizontal="center" vertical="center"/>
    </xf>
    <xf borderId="3" fillId="2" fontId="7" numFmtId="49" xfId="0" applyAlignment="1" applyBorder="1" applyFont="1" applyNumberFormat="1">
      <alignment horizontal="center" shrinkToFit="0" vertical="center" wrapText="1"/>
    </xf>
    <xf borderId="11" fillId="4" fontId="8" numFmtId="0" xfId="0" applyAlignment="1" applyBorder="1" applyFont="1">
      <alignment readingOrder="0"/>
    </xf>
    <xf borderId="3" fillId="2" fontId="14" numFmtId="49" xfId="0" applyAlignment="1" applyBorder="1" applyFont="1" applyNumberFormat="1">
      <alignment horizontal="center" shrinkToFit="0" vertical="center" wrapText="1"/>
    </xf>
    <xf borderId="3" fillId="2" fontId="20" numFmtId="0" xfId="0" applyAlignment="1" applyBorder="1" applyFont="1">
      <alignment horizontal="center" vertical="center"/>
    </xf>
    <xf borderId="3" fillId="2" fontId="18" numFmtId="49" xfId="0" applyAlignment="1" applyBorder="1" applyFont="1" applyNumberFormat="1">
      <alignment horizontal="center" shrinkToFit="0" vertical="center" wrapText="1"/>
    </xf>
    <xf borderId="3" fillId="4" fontId="8" numFmtId="0" xfId="0" applyAlignment="1" applyBorder="1" applyFont="1">
      <alignment horizontal="center"/>
    </xf>
    <xf borderId="14" fillId="0" fontId="19" numFmtId="49" xfId="0" applyAlignment="1" applyBorder="1" applyFont="1" applyNumberFormat="1">
      <alignment horizontal="center" vertical="center"/>
    </xf>
    <xf borderId="9" fillId="2" fontId="19" numFmtId="49" xfId="0" applyAlignment="1" applyBorder="1" applyFont="1" applyNumberFormat="1">
      <alignment horizontal="center" shrinkToFit="0" vertical="center" wrapText="1"/>
    </xf>
    <xf borderId="15" fillId="2" fontId="4" numFmtId="0" xfId="0" applyAlignment="1" applyBorder="1" applyFont="1">
      <alignment horizontal="center" vertical="center"/>
    </xf>
    <xf borderId="3" fillId="2" fontId="21" numFmtId="0" xfId="0" applyAlignment="1" applyBorder="1" applyFont="1">
      <alignment horizontal="center" vertical="center"/>
    </xf>
    <xf borderId="3" fillId="2" fontId="16" numFmtId="0" xfId="0" applyAlignment="1" applyBorder="1" applyFont="1">
      <alignment shrinkToFit="0" wrapText="1"/>
    </xf>
    <xf borderId="1" fillId="2" fontId="7" numFmtId="0" xfId="0" applyAlignment="1" applyBorder="1" applyFont="1">
      <alignment horizontal="center" vertical="center"/>
    </xf>
    <xf borderId="16" fillId="2" fontId="4" numFmtId="0" xfId="0" applyAlignment="1" applyBorder="1" applyFont="1">
      <alignment horizontal="center" vertical="center"/>
    </xf>
    <xf borderId="17" fillId="6" fontId="2" numFmtId="0" xfId="0" applyAlignment="1" applyBorder="1" applyFill="1" applyFont="1">
      <alignment horizontal="center" shrinkToFit="0" vertical="center" wrapText="1"/>
    </xf>
    <xf borderId="18" fillId="6" fontId="3" numFmtId="0" xfId="0" applyAlignment="1" applyBorder="1" applyFont="1">
      <alignment horizontal="center" vertical="center"/>
    </xf>
    <xf borderId="19" fillId="6" fontId="2" numFmtId="0" xfId="0" applyAlignment="1" applyBorder="1" applyFont="1">
      <alignment horizontal="center" shrinkToFit="0" vertical="center" wrapText="1"/>
    </xf>
    <xf borderId="4" fillId="6" fontId="6" numFmtId="49" xfId="0" applyAlignment="1" applyBorder="1" applyFont="1" applyNumberFormat="1">
      <alignment horizontal="center" shrinkToFit="0" vertical="center" wrapText="1"/>
    </xf>
    <xf borderId="3" fillId="6" fontId="6" numFmtId="49" xfId="0" applyAlignment="1" applyBorder="1" applyFont="1" applyNumberFormat="1">
      <alignment horizontal="center" vertical="center"/>
    </xf>
    <xf borderId="3" fillId="6" fontId="2" numFmtId="0" xfId="0" applyAlignment="1" applyBorder="1" applyFont="1">
      <alignment horizontal="center" vertical="center"/>
    </xf>
    <xf borderId="3" fillId="6" fontId="2" numFmtId="0" xfId="0" applyAlignment="1" applyBorder="1" applyFont="1">
      <alignment horizontal="center" readingOrder="0" vertical="center"/>
    </xf>
    <xf borderId="3" fillId="2" fontId="22" numFmtId="0" xfId="0" applyAlignment="1" applyBorder="1" applyFont="1">
      <alignment horizontal="center" vertical="center"/>
    </xf>
    <xf borderId="20" fillId="2" fontId="5" numFmtId="49" xfId="0" applyAlignment="1" applyBorder="1" applyFont="1" applyNumberFormat="1">
      <alignment horizontal="center" vertical="center"/>
    </xf>
    <xf borderId="3" fillId="2" fontId="23" numFmtId="0" xfId="0" applyAlignment="1" applyBorder="1" applyFont="1">
      <alignment horizontal="center" vertical="center"/>
    </xf>
    <xf borderId="5" fillId="2" fontId="23" numFmtId="0" xfId="0" applyAlignment="1" applyBorder="1" applyFont="1">
      <alignment horizontal="center" vertical="center"/>
    </xf>
    <xf borderId="3" fillId="2" fontId="24" numFmtId="0" xfId="0" applyAlignment="1" applyBorder="1" applyFont="1">
      <alignment horizontal="center" vertical="center"/>
    </xf>
    <xf borderId="3" fillId="2" fontId="25" numFmtId="49" xfId="0" applyAlignment="1" applyBorder="1" applyFont="1" applyNumberFormat="1">
      <alignment horizontal="center" shrinkToFit="0" vertical="center" wrapText="1"/>
    </xf>
    <xf borderId="4" fillId="2" fontId="23" numFmtId="0" xfId="0" applyAlignment="1" applyBorder="1" applyFont="1">
      <alignment horizontal="center" vertical="center"/>
    </xf>
    <xf borderId="3" fillId="2" fontId="23" numFmtId="0" xfId="0" applyAlignment="1" applyBorder="1" applyFont="1">
      <alignment shrinkToFit="0" vertical="center" wrapText="1"/>
    </xf>
    <xf borderId="3" fillId="2" fontId="26" numFmtId="0" xfId="0" applyAlignment="1" applyBorder="1" applyFont="1">
      <alignment horizontal="center" vertical="center"/>
    </xf>
    <xf borderId="17" fillId="2" fontId="4" numFmtId="0" xfId="0" applyAlignment="1" applyBorder="1" applyFont="1">
      <alignment horizontal="center" vertical="center"/>
    </xf>
    <xf borderId="7" fillId="2" fontId="7" numFmtId="0" xfId="0" applyAlignment="1" applyBorder="1" applyFont="1">
      <alignment readingOrder="0" vertical="center"/>
    </xf>
    <xf borderId="3" fillId="2" fontId="25" numFmtId="0" xfId="0" applyAlignment="1" applyBorder="1" applyFont="1">
      <alignment horizontal="center" shrinkToFit="0" vertical="center" wrapText="1"/>
    </xf>
    <xf borderId="3" fillId="2" fontId="27" numFmtId="0" xfId="0" applyAlignment="1" applyBorder="1" applyFont="1">
      <alignment horizontal="center" vertical="center"/>
    </xf>
    <xf borderId="21" fillId="2" fontId="23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left" vertical="center"/>
    </xf>
    <xf borderId="1" fillId="2" fontId="4" numFmtId="0" xfId="0" applyAlignment="1" applyBorder="1" applyFont="1">
      <alignment vertical="center"/>
    </xf>
    <xf borderId="1" fillId="2" fontId="6" numFmtId="0" xfId="0" applyAlignment="1" applyBorder="1" applyFont="1">
      <alignment horizontal="center" vertical="center"/>
    </xf>
    <xf borderId="22" fillId="2" fontId="4" numFmtId="0" xfId="0" applyAlignment="1" applyBorder="1" applyFont="1">
      <alignment horizontal="center" vertical="center"/>
    </xf>
    <xf borderId="0" fillId="0" fontId="28" numFmtId="0" xfId="0" applyAlignment="1" applyFont="1">
      <alignment readingOrder="0"/>
    </xf>
    <xf borderId="0" fillId="0" fontId="29" numFmtId="0" xfId="0" applyAlignment="1" applyFont="1">
      <alignment vertical="bottom"/>
    </xf>
    <xf borderId="0" fillId="0" fontId="30" numFmtId="0" xfId="0" applyAlignment="1" applyFont="1">
      <alignment readingOrder="0" vertical="bottom"/>
    </xf>
    <xf borderId="0" fillId="0" fontId="3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api.whatsapp.com/send?phone=+6285728846625&amp;text=Triwanto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0"/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1.0"/>
    <col customWidth="1" min="2" max="2" width="12.57"/>
    <col customWidth="1" min="3" max="4" width="6.57"/>
    <col customWidth="1" min="5" max="5" width="8.43"/>
    <col customWidth="1" min="6" max="6" width="9.43"/>
    <col customWidth="1" min="7" max="7" width="7.71"/>
    <col customWidth="1" min="8" max="8" width="35.71"/>
    <col customWidth="1" min="9" max="9" width="28.29"/>
    <col customWidth="1" min="10" max="10" width="10.0"/>
    <col customWidth="1" hidden="1" min="11" max="11" width="12.43"/>
    <col customWidth="1" min="12" max="12" width="37.14"/>
    <col customWidth="1" min="13" max="13" width="11.71"/>
    <col customWidth="1" min="14" max="14" width="9.14"/>
    <col customWidth="1" min="15" max="15" width="37.29"/>
    <col customWidth="1" min="16" max="16" width="20.86"/>
  </cols>
  <sheetData>
    <row r="1" ht="18.75" customHeight="1">
      <c r="A1" s="1" t="s">
        <v>0</v>
      </c>
      <c r="B1" s="2"/>
      <c r="C1" s="2"/>
      <c r="D1" s="2"/>
      <c r="E1" s="3"/>
      <c r="F1" s="2"/>
      <c r="G1" s="2"/>
      <c r="H1" s="4"/>
      <c r="I1" s="5"/>
      <c r="J1" s="5"/>
      <c r="K1" s="2"/>
      <c r="L1" s="6"/>
      <c r="M1" s="7"/>
      <c r="N1" s="7"/>
      <c r="O1" s="8"/>
      <c r="P1" s="8"/>
    </row>
    <row r="2" ht="18.75" customHeight="1">
      <c r="A2" s="1" t="s">
        <v>1</v>
      </c>
      <c r="B2" s="2"/>
      <c r="C2" s="2"/>
      <c r="D2" s="2"/>
      <c r="E2" s="3"/>
      <c r="F2" s="2"/>
      <c r="G2" s="2"/>
      <c r="H2" s="4"/>
      <c r="I2" s="3"/>
      <c r="J2" s="3"/>
      <c r="K2" s="2"/>
      <c r="L2" s="6" t="s">
        <v>2</v>
      </c>
      <c r="M2" s="7"/>
      <c r="N2" s="7"/>
      <c r="O2" s="8"/>
      <c r="P2" s="8"/>
    </row>
    <row r="3" ht="12.0" customHeight="1">
      <c r="A3" s="3"/>
      <c r="B3" s="2"/>
      <c r="C3" s="2"/>
      <c r="D3" s="2"/>
      <c r="E3" s="3"/>
      <c r="F3" s="2"/>
      <c r="G3" s="2"/>
      <c r="H3" s="4"/>
      <c r="I3" s="3"/>
      <c r="J3" s="3"/>
      <c r="K3" s="2"/>
      <c r="L3" s="6"/>
      <c r="M3" s="7"/>
      <c r="N3" s="7"/>
      <c r="O3" s="8"/>
      <c r="P3" s="8"/>
    </row>
    <row r="4" ht="42.0" customHeight="1">
      <c r="A4" s="9" t="s">
        <v>3</v>
      </c>
      <c r="B4" s="9" t="s">
        <v>4</v>
      </c>
      <c r="C4" s="9" t="s">
        <v>5</v>
      </c>
      <c r="D4" s="9" t="s">
        <v>6</v>
      </c>
      <c r="E4" s="9" t="s">
        <v>7</v>
      </c>
      <c r="F4" s="10" t="s">
        <v>8</v>
      </c>
      <c r="G4" s="11" t="s">
        <v>9</v>
      </c>
      <c r="H4" s="12" t="inlineStr">
        <is>
          <t>Departemen</t>
        </is>
      </c>
      <c r="I4" s="9" t="s">
        <v>11</v>
      </c>
      <c r="J4" s="9" t="s">
        <v>12</v>
      </c>
      <c r="K4" s="9" t="s">
        <v>13</v>
      </c>
      <c r="L4" s="9" t="s">
        <v>14</v>
      </c>
      <c r="M4" s="13" t="s">
        <v>15</v>
      </c>
      <c r="N4" s="14" t="s">
        <v>5</v>
      </c>
      <c r="O4" s="15" t="s">
        <v>16</v>
      </c>
      <c r="P4" s="16" t="s">
        <v>17</v>
      </c>
    </row>
    <row r="5" ht="19.5" customHeight="1">
      <c r="A5" s="17" t="s">
        <v>18</v>
      </c>
      <c r="B5" s="17" t="s">
        <v>19</v>
      </c>
      <c r="C5" s="17">
        <v>3.0</v>
      </c>
      <c r="D5" s="17">
        <v>1.0</v>
      </c>
      <c r="E5" s="18" t="s">
        <v>20</v>
      </c>
      <c r="F5" s="19">
        <v>5.0</v>
      </c>
      <c r="G5" s="20">
        <v>78.0</v>
      </c>
      <c r="H5" s="21" t="inlineStr">
        <is>
          <t>T. Sipil, T. Lingkungan, T. Geomatika, T. Geofisika, Tekdok</t>
        </is>
      </c>
      <c r="I5" s="20" t="s">
        <v>22</v>
      </c>
      <c r="J5" s="17" t="s">
        <v>23</v>
      </c>
      <c r="K5" s="22" t="s">
        <v>24</v>
      </c>
      <c r="L5" s="23" t="s">
        <v>25</v>
      </c>
      <c r="M5" s="24"/>
      <c r="N5" s="25"/>
      <c r="O5" s="26" t="s">
        <v>26</v>
      </c>
      <c r="P5" s="27" t="str">
        <f>VLOOKUP(O5,Sheet1!$B$3:$D$55,3,FALSE)</f>
        <v>KLIK UNTUK CHAT</v>
      </c>
    </row>
    <row r="6" ht="30.0" customHeight="1">
      <c r="A6" s="17" t="s">
        <v>18</v>
      </c>
      <c r="B6" s="17" t="s">
        <v>19</v>
      </c>
      <c r="C6" s="17">
        <v>3.0</v>
      </c>
      <c r="D6" s="17">
        <v>1.0</v>
      </c>
      <c r="E6" s="28"/>
      <c r="F6" s="19">
        <v>6.0</v>
      </c>
      <c r="G6" s="20">
        <v>78.0</v>
      </c>
      <c r="H6" s="21" t="inlineStr">
        <is>
          <t>T. Sipil, T. Lingkungan, T. Geomatika, T. Geofisika, Tekdok</t>
        </is>
      </c>
      <c r="I6" s="20" t="s">
        <v>22</v>
      </c>
      <c r="J6" s="17" t="s">
        <v>27</v>
      </c>
      <c r="K6" s="22" t="s">
        <v>24</v>
      </c>
      <c r="L6" s="23" t="s">
        <v>28</v>
      </c>
      <c r="M6" s="24" t="s">
        <v>29</v>
      </c>
      <c r="N6" s="25" t="s">
        <v>30</v>
      </c>
      <c r="O6" s="29" t="s">
        <v>31</v>
      </c>
      <c r="P6" s="27" t="str">
        <f>VLOOKUP(O6,Sheet1!$B$3:$D$55,3,FALSE)</f>
        <v>KLIK UNTUK CHAT</v>
      </c>
    </row>
    <row r="7" ht="30.0" customHeight="1">
      <c r="A7" s="17" t="s">
        <v>18</v>
      </c>
      <c r="B7" s="17" t="s">
        <v>19</v>
      </c>
      <c r="C7" s="17">
        <v>3.0</v>
      </c>
      <c r="D7" s="17">
        <v>1.0</v>
      </c>
      <c r="E7" s="28"/>
      <c r="F7" s="19">
        <v>7.0</v>
      </c>
      <c r="G7" s="20">
        <v>78.0</v>
      </c>
      <c r="H7" s="21" t="inlineStr">
        <is>
          <t>T. Sipil, T. Lingkungan, T. Geomatika, T. Geofisika, Tekdok</t>
        </is>
      </c>
      <c r="I7" s="20" t="s">
        <v>22</v>
      </c>
      <c r="J7" s="17" t="s">
        <v>32</v>
      </c>
      <c r="K7" s="22" t="s">
        <v>24</v>
      </c>
      <c r="L7" s="23" t="s">
        <v>33</v>
      </c>
      <c r="M7" s="24" t="s">
        <v>34</v>
      </c>
      <c r="N7" s="25" t="s">
        <v>35</v>
      </c>
      <c r="O7" s="30" t="s">
        <v>36</v>
      </c>
      <c r="P7" s="27" t="str">
        <f>VLOOKUP(O7,Sheet1!$B$3:$D$55,3,FALSE)</f>
        <v>KLIK UNTUK CHAT</v>
      </c>
    </row>
    <row r="8" ht="19.5" customHeight="1">
      <c r="A8" s="17" t="s">
        <v>18</v>
      </c>
      <c r="B8" s="17" t="s">
        <v>19</v>
      </c>
      <c r="C8" s="17">
        <v>3.0</v>
      </c>
      <c r="D8" s="17">
        <v>1.0</v>
      </c>
      <c r="E8" s="28"/>
      <c r="F8" s="19">
        <v>8.0</v>
      </c>
      <c r="G8" s="20">
        <v>78.0</v>
      </c>
      <c r="H8" s="21" t="inlineStr">
        <is>
          <t>T. Sipil, T. Lingkungan, T. Geomatika, T. Geofisika, Tekdok</t>
        </is>
      </c>
      <c r="I8" s="20" t="s">
        <v>22</v>
      </c>
      <c r="J8" s="17" t="s">
        <v>37</v>
      </c>
      <c r="K8" s="22" t="s">
        <v>38</v>
      </c>
      <c r="L8" s="31" t="s">
        <v>39</v>
      </c>
      <c r="M8" s="32"/>
      <c r="N8" s="25"/>
      <c r="O8" s="33" t="s">
        <v>40</v>
      </c>
      <c r="P8" s="27" t="str">
        <f>VLOOKUP(O8,Sheet1!$B$3:$D$55,3,FALSE)</f>
        <v>KLIK UNTUK CHAT</v>
      </c>
    </row>
    <row r="9" ht="30.0" customHeight="1">
      <c r="A9" s="17" t="s">
        <v>18</v>
      </c>
      <c r="B9" s="17" t="s">
        <v>19</v>
      </c>
      <c r="C9" s="17">
        <v>3.0</v>
      </c>
      <c r="D9" s="17">
        <v>1.0</v>
      </c>
      <c r="E9" s="28"/>
      <c r="F9" s="19">
        <v>9.0</v>
      </c>
      <c r="G9" s="20">
        <v>78.0</v>
      </c>
      <c r="H9" s="21" t="inlineStr">
        <is>
          <t>T. Sipil, T. Lingkungan, T. Geomatika, T. Geofisika, Tekdok</t>
        </is>
      </c>
      <c r="I9" s="20" t="s">
        <v>22</v>
      </c>
      <c r="J9" s="17" t="s">
        <v>41</v>
      </c>
      <c r="K9" s="22" t="s">
        <v>38</v>
      </c>
      <c r="L9" s="31" t="s">
        <v>28</v>
      </c>
      <c r="M9" s="32" t="s">
        <v>29</v>
      </c>
      <c r="N9" s="25" t="s">
        <v>30</v>
      </c>
      <c r="O9" s="34" t="s">
        <v>42</v>
      </c>
      <c r="P9" s="27" t="str">
        <f>VLOOKUP(O9,Sheet1!$B$3:$D$55,3,FALSE)</f>
        <v>KLIK UNTUK CHAT</v>
      </c>
    </row>
    <row r="10" ht="30.0" customHeight="1">
      <c r="A10" s="17" t="s">
        <v>18</v>
      </c>
      <c r="B10" s="17" t="s">
        <v>19</v>
      </c>
      <c r="C10" s="17">
        <v>3.0</v>
      </c>
      <c r="D10" s="17">
        <v>1.0</v>
      </c>
      <c r="E10" s="28"/>
      <c r="F10" s="19">
        <v>10.0</v>
      </c>
      <c r="G10" s="20">
        <v>78.0</v>
      </c>
      <c r="H10" s="21" t="inlineStr">
        <is>
          <t>T. Sipil, T. Lingkungan, T. Geomatika, T. Geofisika, Tekdok</t>
        </is>
      </c>
      <c r="I10" s="20" t="s">
        <v>22</v>
      </c>
      <c r="J10" s="17" t="s">
        <v>43</v>
      </c>
      <c r="K10" s="22" t="s">
        <v>38</v>
      </c>
      <c r="L10" s="31" t="s">
        <v>44</v>
      </c>
      <c r="M10" s="32" t="s">
        <v>34</v>
      </c>
      <c r="N10" s="25" t="s">
        <v>35</v>
      </c>
      <c r="O10" s="33" t="s">
        <v>45</v>
      </c>
      <c r="P10" s="27" t="str">
        <f>VLOOKUP(O10,Sheet1!$B$3:$D$55,3,FALSE)</f>
        <v>KLIK UNTUK CHAT</v>
      </c>
    </row>
    <row r="11" ht="30.0" customHeight="1">
      <c r="A11" s="17" t="s">
        <v>18</v>
      </c>
      <c r="B11" s="17" t="s">
        <v>19</v>
      </c>
      <c r="C11" s="17">
        <v>3.0</v>
      </c>
      <c r="D11" s="17">
        <v>1.0</v>
      </c>
      <c r="E11" s="28"/>
      <c r="F11" s="19">
        <v>11.0</v>
      </c>
      <c r="G11" s="20">
        <v>78.0</v>
      </c>
      <c r="H11" s="21" t="inlineStr">
        <is>
          <t>T. Sipil, T. Lingkungan, T. Geomatika, T. Geofisika, Tekdok</t>
        </is>
      </c>
      <c r="I11" s="20" t="s">
        <v>22</v>
      </c>
      <c r="J11" s="17" t="s">
        <v>46</v>
      </c>
      <c r="K11" s="22" t="s">
        <v>38</v>
      </c>
      <c r="L11" s="31" t="s">
        <v>47</v>
      </c>
      <c r="M11" s="32" t="s">
        <v>29</v>
      </c>
      <c r="N11" s="25" t="s">
        <v>30</v>
      </c>
      <c r="O11" s="33" t="s">
        <v>48</v>
      </c>
      <c r="P11" s="27" t="str">
        <f>VLOOKUP(O11,Sheet1!$B$3:$D$55,3,FALSE)</f>
        <v>KLIK UNTUK CHAT</v>
      </c>
    </row>
    <row r="12" ht="43.5" customHeight="1">
      <c r="A12" s="17" t="s">
        <v>18</v>
      </c>
      <c r="B12" s="17" t="s">
        <v>19</v>
      </c>
      <c r="C12" s="17">
        <v>3.0</v>
      </c>
      <c r="D12" s="17">
        <v>1.0</v>
      </c>
      <c r="E12" s="28"/>
      <c r="F12" s="19">
        <v>12.0</v>
      </c>
      <c r="G12" s="20">
        <v>78.0</v>
      </c>
      <c r="H12" s="35" t="inlineStr">
        <is>
          <t>T. Sipil, T. Lingkungan, T. Geomatika, T. Geofisika, Tekdok</t>
        </is>
      </c>
      <c r="I12" s="17" t="s">
        <v>22</v>
      </c>
      <c r="J12" s="17" t="s">
        <v>49</v>
      </c>
      <c r="K12" s="22" t="s">
        <v>50</v>
      </c>
      <c r="L12" s="23" t="s">
        <v>51</v>
      </c>
      <c r="M12" s="32" t="s">
        <v>52</v>
      </c>
      <c r="N12" s="25" t="s">
        <v>53</v>
      </c>
      <c r="O12" s="30" t="s">
        <v>54</v>
      </c>
      <c r="P12" s="27" t="str">
        <f>VLOOKUP(O12,Sheet1!$B$3:$D$55,3,FALSE)</f>
        <v>KLIK UNTUK CHAT</v>
      </c>
    </row>
    <row r="13" ht="30.0" customHeight="1">
      <c r="A13" s="36" t="s">
        <v>18</v>
      </c>
      <c r="B13" s="36" t="s">
        <v>19</v>
      </c>
      <c r="C13" s="36">
        <v>3.0</v>
      </c>
      <c r="D13" s="36" t="s">
        <v>55</v>
      </c>
      <c r="E13" s="37"/>
      <c r="F13" s="38">
        <v>101.0</v>
      </c>
      <c r="G13" s="36">
        <v>62.0</v>
      </c>
      <c r="H13" s="39" t="inlineStr">
        <is>
          <t>T. Sipil, T. Lingkungan, T. Geomatika, T. Geofisika, Tekdok</t>
        </is>
      </c>
      <c r="I13" s="36" t="s">
        <v>22</v>
      </c>
      <c r="J13" s="36" t="s">
        <v>56</v>
      </c>
      <c r="K13" s="40" t="s">
        <v>50</v>
      </c>
      <c r="L13" s="41" t="s">
        <v>57</v>
      </c>
      <c r="M13" s="42" t="s">
        <v>29</v>
      </c>
      <c r="N13" s="43" t="s">
        <v>30</v>
      </c>
      <c r="O13" s="44" t="s">
        <v>58</v>
      </c>
      <c r="P13" s="27" t="str">
        <f>VLOOKUP(O13,Sheet1!$B$3:$D$55,3,FALSE)</f>
        <v>KLIK UNTUK CHAT</v>
      </c>
    </row>
    <row r="14" ht="30.0" customHeight="1">
      <c r="A14" s="45" t="s">
        <v>18</v>
      </c>
      <c r="B14" s="45" t="s">
        <v>19</v>
      </c>
      <c r="C14" s="45">
        <v>3.0</v>
      </c>
      <c r="D14" s="45">
        <v>1.0</v>
      </c>
      <c r="E14" s="46" t="s">
        <v>59</v>
      </c>
      <c r="F14" s="47">
        <v>13.0</v>
      </c>
      <c r="G14" s="45">
        <v>77.0</v>
      </c>
      <c r="H14" s="48" t="inlineStr">
        <is>
          <t>T. Perkapalan, T. Sistem Perkapalan, T. Kelautan, T. Transportasi Laut, T. Bangunan Lepas Pantai</t>
        </is>
      </c>
      <c r="I14" s="45" t="s">
        <v>61</v>
      </c>
      <c r="J14" s="45" t="s">
        <v>62</v>
      </c>
      <c r="K14" s="49" t="s">
        <v>63</v>
      </c>
      <c r="L14" s="50" t="s">
        <v>64</v>
      </c>
      <c r="M14" s="51" t="s">
        <v>29</v>
      </c>
      <c r="N14" s="52" t="s">
        <v>30</v>
      </c>
      <c r="O14" s="33" t="s">
        <v>58</v>
      </c>
      <c r="P14" s="27" t="str">
        <f>VLOOKUP(O14,Sheet1!$B$3:$D$55,3,FALSE)</f>
        <v>KLIK UNTUK CHAT</v>
      </c>
    </row>
    <row r="15" ht="30.0" customHeight="1">
      <c r="A15" s="45" t="s">
        <v>18</v>
      </c>
      <c r="B15" s="45" t="s">
        <v>19</v>
      </c>
      <c r="C15" s="45">
        <v>3.0</v>
      </c>
      <c r="D15" s="45">
        <v>1.0</v>
      </c>
      <c r="E15" s="28"/>
      <c r="F15" s="47">
        <v>14.0</v>
      </c>
      <c r="G15" s="45">
        <v>77.0</v>
      </c>
      <c r="H15" s="48" t="inlineStr">
        <is>
          <t>T. Perkapalan, T. Sistem Perkapalan, T. Kelautan, T. Transportasi Laut, T. Bangunan Lepas Pantai</t>
        </is>
      </c>
      <c r="I15" s="45" t="s">
        <v>61</v>
      </c>
      <c r="J15" s="45" t="s">
        <v>65</v>
      </c>
      <c r="K15" s="49" t="s">
        <v>63</v>
      </c>
      <c r="L15" s="50" t="s">
        <v>66</v>
      </c>
      <c r="M15" s="51" t="s">
        <v>29</v>
      </c>
      <c r="N15" s="52" t="s">
        <v>30</v>
      </c>
      <c r="O15" s="33" t="s">
        <v>67</v>
      </c>
      <c r="P15" s="27" t="str">
        <f>VLOOKUP(O15,Sheet1!$B$3:$D$55,3,FALSE)</f>
        <v>KLIK UNTUK CHAT</v>
      </c>
    </row>
    <row r="16" ht="30.0" customHeight="1">
      <c r="A16" s="45" t="s">
        <v>18</v>
      </c>
      <c r="B16" s="45" t="s">
        <v>19</v>
      </c>
      <c r="C16" s="45">
        <v>3.0</v>
      </c>
      <c r="D16" s="45">
        <v>1.0</v>
      </c>
      <c r="E16" s="28"/>
      <c r="F16" s="47">
        <v>15.0</v>
      </c>
      <c r="G16" s="45">
        <v>77.0</v>
      </c>
      <c r="H16" s="48" t="inlineStr">
        <is>
          <t>T. Perkapalan, T. Sistem Perkapalan, T. Kelautan, T. Transportasi Laut, T. Bangunan Lepas Pantai</t>
        </is>
      </c>
      <c r="I16" s="45" t="s">
        <v>61</v>
      </c>
      <c r="J16" s="45" t="s">
        <v>68</v>
      </c>
      <c r="K16" s="49" t="s">
        <v>63</v>
      </c>
      <c r="L16" s="50" t="s">
        <v>69</v>
      </c>
      <c r="M16" s="51" t="s">
        <v>70</v>
      </c>
      <c r="N16" s="52" t="s">
        <v>71</v>
      </c>
      <c r="O16" s="26" t="s">
        <v>72</v>
      </c>
      <c r="P16" s="27" t="str">
        <f>VLOOKUP(O16,Sheet1!$B$3:$D$55,3,FALSE)</f>
        <v>KLIK UNTUK CHAT</v>
      </c>
    </row>
    <row r="17" ht="15.0" customHeight="1">
      <c r="A17" s="45" t="s">
        <v>18</v>
      </c>
      <c r="B17" s="45" t="s">
        <v>19</v>
      </c>
      <c r="C17" s="45">
        <v>3.0</v>
      </c>
      <c r="D17" s="45">
        <v>1.0</v>
      </c>
      <c r="E17" s="28"/>
      <c r="F17" s="47">
        <v>16.0</v>
      </c>
      <c r="G17" s="45">
        <v>77.0</v>
      </c>
      <c r="H17" s="48" t="inlineStr">
        <is>
          <t>T. Perkapalan, T. Sistem Perkapalan, T. Kelautan, T. Transportasi Laut, T. Bangunan Lepas Pantai</t>
        </is>
      </c>
      <c r="I17" s="45" t="s">
        <v>61</v>
      </c>
      <c r="J17" s="45" t="s">
        <v>73</v>
      </c>
      <c r="K17" s="49" t="s">
        <v>63</v>
      </c>
      <c r="L17" s="50" t="s">
        <v>74</v>
      </c>
      <c r="M17" s="51"/>
      <c r="N17" s="52"/>
      <c r="O17" s="26" t="s">
        <v>75</v>
      </c>
      <c r="P17" s="27" t="str">
        <f>VLOOKUP(O17,Sheet1!$B$3:$D$55,3,FALSE)</f>
        <v>KLIK UNTUK CHAT</v>
      </c>
    </row>
    <row r="18" ht="30.0" customHeight="1">
      <c r="A18" s="45" t="s">
        <v>18</v>
      </c>
      <c r="B18" s="45" t="s">
        <v>19</v>
      </c>
      <c r="C18" s="45">
        <v>3.0</v>
      </c>
      <c r="D18" s="45">
        <v>1.0</v>
      </c>
      <c r="E18" s="28"/>
      <c r="F18" s="47">
        <v>17.0</v>
      </c>
      <c r="G18" s="45">
        <v>77.0</v>
      </c>
      <c r="H18" s="48" t="inlineStr">
        <is>
          <t>T. Perkapalan, T. Sistem Perkapalan, T. Kelautan, T. Transportasi Laut, T. Bangunan Lepas Pantai</t>
        </is>
      </c>
      <c r="I18" s="45" t="s">
        <v>61</v>
      </c>
      <c r="J18" s="45" t="s">
        <v>76</v>
      </c>
      <c r="K18" s="49" t="s">
        <v>63</v>
      </c>
      <c r="L18" s="50" t="s">
        <v>66</v>
      </c>
      <c r="M18" s="51" t="s">
        <v>29</v>
      </c>
      <c r="N18" s="52" t="s">
        <v>30</v>
      </c>
      <c r="O18" s="33" t="s">
        <v>77</v>
      </c>
      <c r="P18" s="27" t="str">
        <f>VLOOKUP(O18,Sheet1!$B$3:$D$55,3,FALSE)</f>
        <v>KLIK UNTUK CHAT</v>
      </c>
    </row>
    <row r="19" ht="30.0" customHeight="1">
      <c r="A19" s="45" t="s">
        <v>18</v>
      </c>
      <c r="B19" s="45" t="s">
        <v>19</v>
      </c>
      <c r="C19" s="45">
        <v>3.0</v>
      </c>
      <c r="D19" s="45">
        <v>1.0</v>
      </c>
      <c r="E19" s="28"/>
      <c r="F19" s="47">
        <v>18.0</v>
      </c>
      <c r="G19" s="45">
        <v>77.0</v>
      </c>
      <c r="H19" s="48" t="inlineStr">
        <is>
          <t>T. Perkapalan, T. Sistem Perkapalan, T. Kelautan, T. Transportasi Laut, T. Bangunan Lepas Pantai</t>
        </is>
      </c>
      <c r="I19" s="45" t="s">
        <v>61</v>
      </c>
      <c r="J19" s="45" t="s">
        <v>78</v>
      </c>
      <c r="K19" s="49" t="s">
        <v>79</v>
      </c>
      <c r="L19" s="50" t="s">
        <v>64</v>
      </c>
      <c r="M19" s="51" t="s">
        <v>29</v>
      </c>
      <c r="N19" s="52" t="s">
        <v>30</v>
      </c>
      <c r="O19" s="26" t="s">
        <v>80</v>
      </c>
      <c r="P19" s="27" t="str">
        <f>VLOOKUP(O19,Sheet1!$B$3:$D$55,3,FALSE)</f>
        <v>KLIK UNTUK CHAT</v>
      </c>
    </row>
    <row r="20" ht="30.0" customHeight="1">
      <c r="A20" s="45" t="s">
        <v>18</v>
      </c>
      <c r="B20" s="45" t="s">
        <v>19</v>
      </c>
      <c r="C20" s="45">
        <v>3.0</v>
      </c>
      <c r="D20" s="45">
        <v>1.0</v>
      </c>
      <c r="E20" s="28"/>
      <c r="F20" s="47">
        <v>19.0</v>
      </c>
      <c r="G20" s="45">
        <v>77.0</v>
      </c>
      <c r="H20" s="48" t="inlineStr">
        <is>
          <t>T. Perkapalan, T. Sistem Perkapalan, T. Kelautan, T. Transportasi Laut, T. Bangunan Lepas Pantai</t>
        </is>
      </c>
      <c r="I20" s="45" t="s">
        <v>61</v>
      </c>
      <c r="J20" s="45" t="s">
        <v>81</v>
      </c>
      <c r="K20" s="49" t="s">
        <v>79</v>
      </c>
      <c r="L20" s="50" t="s">
        <v>82</v>
      </c>
      <c r="M20" s="51" t="s">
        <v>83</v>
      </c>
      <c r="N20" s="52" t="s">
        <v>84</v>
      </c>
      <c r="O20" s="33" t="s">
        <v>85</v>
      </c>
      <c r="P20" s="27" t="str">
        <f>VLOOKUP(O20,Sheet1!$B$3:$D$55,3,FALSE)</f>
        <v>KLIK UNTUK CHAT</v>
      </c>
    </row>
    <row r="21" ht="30.0" customHeight="1">
      <c r="A21" s="36" t="s">
        <v>18</v>
      </c>
      <c r="B21" s="36" t="s">
        <v>19</v>
      </c>
      <c r="C21" s="36">
        <v>3.0</v>
      </c>
      <c r="D21" s="36" t="s">
        <v>55</v>
      </c>
      <c r="E21" s="37"/>
      <c r="F21" s="38">
        <v>103.0</v>
      </c>
      <c r="G21" s="36">
        <v>57.0</v>
      </c>
      <c r="H21" s="39" t="inlineStr">
        <is>
          <t>T. Perkapalan, T. Sistem Perkapalan, T. Kelautan, T. Transportasi Laut, T. Bangunan Lepas Pantai</t>
        </is>
      </c>
      <c r="I21" s="36" t="s">
        <v>61</v>
      </c>
      <c r="J21" s="36" t="s">
        <v>86</v>
      </c>
      <c r="K21" s="40" t="s">
        <v>87</v>
      </c>
      <c r="L21" s="41" t="s">
        <v>88</v>
      </c>
      <c r="M21" s="42" t="s">
        <v>34</v>
      </c>
      <c r="N21" s="43" t="s">
        <v>35</v>
      </c>
      <c r="O21" s="33" t="s">
        <v>89</v>
      </c>
      <c r="P21" s="27" t="str">
        <f>VLOOKUP(O21,Sheet1!$B$3:$D$55,3,FALSE)</f>
        <v>KLIK UNTUK CHAT</v>
      </c>
    </row>
    <row r="22" ht="30.0" customHeight="1">
      <c r="A22" s="17" t="s">
        <v>18</v>
      </c>
      <c r="B22" s="17" t="s">
        <v>19</v>
      </c>
      <c r="C22" s="17">
        <v>3.0</v>
      </c>
      <c r="D22" s="17">
        <v>1.0</v>
      </c>
      <c r="E22" s="53" t="s">
        <v>90</v>
      </c>
      <c r="F22" s="19">
        <v>20.0</v>
      </c>
      <c r="G22" s="17">
        <v>78.0</v>
      </c>
      <c r="H22" s="35" t="inlineStr">
        <is>
          <t>T. Mesin, T. Kimia, T. Fisika, Teknik Sistem dan Industri, T. Material dan Metalurgi, T. Pangan, Rkp</t>
        </is>
      </c>
      <c r="I22" s="17" t="s">
        <v>92</v>
      </c>
      <c r="J22" s="17" t="s">
        <v>78</v>
      </c>
      <c r="K22" s="22" t="s">
        <v>79</v>
      </c>
      <c r="L22" s="31" t="s">
        <v>93</v>
      </c>
      <c r="M22" s="32" t="s">
        <v>29</v>
      </c>
      <c r="N22" s="25" t="s">
        <v>30</v>
      </c>
      <c r="O22" s="33" t="s">
        <v>94</v>
      </c>
      <c r="P22" s="27" t="str">
        <f>VLOOKUP(O22,Sheet1!$B$3:$D$55,3,FALSE)</f>
        <v>KLIK UNTUK CHAT</v>
      </c>
    </row>
    <row r="23" ht="15.75" customHeight="1">
      <c r="A23" s="17" t="s">
        <v>18</v>
      </c>
      <c r="B23" s="17" t="s">
        <v>19</v>
      </c>
      <c r="C23" s="17">
        <v>3.0</v>
      </c>
      <c r="D23" s="17">
        <v>1.0</v>
      </c>
      <c r="E23" s="28"/>
      <c r="F23" s="19">
        <v>21.0</v>
      </c>
      <c r="G23" s="17">
        <v>78.0</v>
      </c>
      <c r="H23" s="35" t="inlineStr">
        <is>
          <t>T. Mesin, T. Kimia, T. Fisika, Teknik Sistem dan Industri, T. Material dan Metalurgi, T. Pangan, Rkp</t>
        </is>
      </c>
      <c r="I23" s="17" t="s">
        <v>92</v>
      </c>
      <c r="J23" s="17" t="s">
        <v>81</v>
      </c>
      <c r="K23" s="22" t="s">
        <v>79</v>
      </c>
      <c r="L23" s="23" t="s">
        <v>95</v>
      </c>
      <c r="M23" s="32"/>
      <c r="N23" s="25"/>
      <c r="O23" s="33" t="s">
        <v>96</v>
      </c>
      <c r="P23" s="27" t="str">
        <f>VLOOKUP(O23,Sheet1!$B$3:$D$55,3,FALSE)</f>
        <v>KLIK UNTUK CHAT</v>
      </c>
    </row>
    <row r="24" ht="15.75" customHeight="1">
      <c r="A24" s="17" t="s">
        <v>18</v>
      </c>
      <c r="B24" s="17" t="s">
        <v>19</v>
      </c>
      <c r="C24" s="17">
        <v>3.0</v>
      </c>
      <c r="D24" s="17">
        <v>1.0</v>
      </c>
      <c r="E24" s="28"/>
      <c r="F24" s="19">
        <v>22.0</v>
      </c>
      <c r="G24" s="17">
        <v>78.0</v>
      </c>
      <c r="H24" s="35" t="inlineStr">
        <is>
          <t>T. Mesin, T. Kimia, T. Fisika, Teknik Sistem dan Industri, T. Material dan Metalurgi, T. Pangan, Rkp</t>
        </is>
      </c>
      <c r="I24" s="17" t="s">
        <v>92</v>
      </c>
      <c r="J24" s="17" t="s">
        <v>97</v>
      </c>
      <c r="K24" s="22" t="s">
        <v>79</v>
      </c>
      <c r="L24" s="31" t="s">
        <v>98</v>
      </c>
      <c r="M24" s="32"/>
      <c r="N24" s="25"/>
      <c r="O24" s="33" t="s">
        <v>99</v>
      </c>
      <c r="P24" s="27" t="str">
        <f>VLOOKUP(O24,Sheet1!$B$3:$D$55,3,FALSE)</f>
        <v>KLIK UNTUK CHAT</v>
      </c>
    </row>
    <row r="25" ht="15.75" customHeight="1">
      <c r="A25" s="17" t="s">
        <v>18</v>
      </c>
      <c r="B25" s="17" t="s">
        <v>19</v>
      </c>
      <c r="C25" s="17">
        <v>3.0</v>
      </c>
      <c r="D25" s="17">
        <v>1.0</v>
      </c>
      <c r="E25" s="28"/>
      <c r="F25" s="19">
        <v>23.0</v>
      </c>
      <c r="G25" s="17">
        <v>78.0</v>
      </c>
      <c r="H25" s="35" t="inlineStr">
        <is>
          <t>T. Mesin, T. Kimia, T. Fisika, Teknik Sistem dan Industri, T. Material dan Metalurgi, T. Pangan, Rkp</t>
        </is>
      </c>
      <c r="I25" s="17" t="s">
        <v>92</v>
      </c>
      <c r="J25" s="17" t="s">
        <v>100</v>
      </c>
      <c r="K25" s="22" t="s">
        <v>79</v>
      </c>
      <c r="L25" s="31" t="s">
        <v>101</v>
      </c>
      <c r="M25" s="32"/>
      <c r="N25" s="25"/>
      <c r="O25" s="33" t="s">
        <v>102</v>
      </c>
      <c r="P25" s="27" t="str">
        <f>VLOOKUP(O25,Sheet1!$B$3:$D$55,3,FALSE)</f>
        <v>KLIK UNTUK CHAT</v>
      </c>
    </row>
    <row r="26" ht="15.75" customHeight="1">
      <c r="A26" s="17" t="s">
        <v>18</v>
      </c>
      <c r="B26" s="17" t="s">
        <v>19</v>
      </c>
      <c r="C26" s="17">
        <v>3.0</v>
      </c>
      <c r="D26" s="17">
        <v>1.0</v>
      </c>
      <c r="E26" s="28"/>
      <c r="F26" s="19">
        <v>24.0</v>
      </c>
      <c r="G26" s="17">
        <v>78.0</v>
      </c>
      <c r="H26" s="35" t="inlineStr">
        <is>
          <t>T. Mesin, T. Kimia, T. Fisika, Teknik Sistem dan Industri, T. Material dan Metalurgi, T. Pangan, Rkp</t>
        </is>
      </c>
      <c r="I26" s="17" t="s">
        <v>92</v>
      </c>
      <c r="J26" s="17" t="s">
        <v>103</v>
      </c>
      <c r="K26" s="22" t="s">
        <v>79</v>
      </c>
      <c r="L26" s="31" t="s">
        <v>25</v>
      </c>
      <c r="M26" s="32"/>
      <c r="N26" s="25"/>
      <c r="O26" s="26" t="s">
        <v>80</v>
      </c>
      <c r="P26" s="27" t="str">
        <f>VLOOKUP(O26,Sheet1!$B$3:$D$55,3,FALSE)</f>
        <v>KLIK UNTUK CHAT</v>
      </c>
    </row>
    <row r="27" ht="26.25" customHeight="1">
      <c r="A27" s="17" t="s">
        <v>18</v>
      </c>
      <c r="B27" s="17" t="s">
        <v>19</v>
      </c>
      <c r="C27" s="17">
        <v>3.0</v>
      </c>
      <c r="D27" s="17">
        <v>1.0</v>
      </c>
      <c r="E27" s="28"/>
      <c r="F27" s="19">
        <v>25.0</v>
      </c>
      <c r="G27" s="17">
        <v>78.0</v>
      </c>
      <c r="H27" s="35" t="inlineStr">
        <is>
          <t>T. Mesin, T. Kimia, T. Fisika, Teknik Sistem dan Industri, T. Material dan Metalurgi, T. Pangan, Rkp</t>
        </is>
      </c>
      <c r="I27" s="17" t="s">
        <v>92</v>
      </c>
      <c r="J27" s="17" t="s">
        <v>104</v>
      </c>
      <c r="K27" s="22" t="s">
        <v>24</v>
      </c>
      <c r="L27" s="23" t="s">
        <v>105</v>
      </c>
      <c r="M27" s="32" t="s">
        <v>29</v>
      </c>
      <c r="N27" s="25" t="s">
        <v>30</v>
      </c>
      <c r="O27" s="26" t="s">
        <v>106</v>
      </c>
      <c r="P27" s="27" t="str">
        <f>VLOOKUP(O27,Sheet1!$B$3:$D$55,3,FALSE)</f>
        <v>KLIK UNTUK CHAT</v>
      </c>
    </row>
    <row r="28" ht="19.5" customHeight="1">
      <c r="A28" s="17" t="s">
        <v>18</v>
      </c>
      <c r="B28" s="17" t="s">
        <v>19</v>
      </c>
      <c r="C28" s="17">
        <v>3.0</v>
      </c>
      <c r="D28" s="17">
        <v>1.0</v>
      </c>
      <c r="E28" s="28"/>
      <c r="F28" s="19">
        <v>26.0</v>
      </c>
      <c r="G28" s="17">
        <v>78.0</v>
      </c>
      <c r="H28" s="35" t="inlineStr">
        <is>
          <t>T. Mesin, T. Kimia, T. Fisika, Teknik Sistem dan Industri, T. Material dan Metalurgi, T. Pangan, Rkp</t>
        </is>
      </c>
      <c r="I28" s="17" t="s">
        <v>92</v>
      </c>
      <c r="J28" s="17" t="s">
        <v>23</v>
      </c>
      <c r="K28" s="22" t="s">
        <v>24</v>
      </c>
      <c r="L28" s="31" t="s">
        <v>39</v>
      </c>
      <c r="M28" s="32"/>
      <c r="N28" s="25"/>
      <c r="O28" s="33" t="s">
        <v>107</v>
      </c>
      <c r="P28" s="27" t="str">
        <f>VLOOKUP(O28,Sheet1!$B$3:$D$55,3,FALSE)</f>
        <v>KLIK UNTUK CHAT</v>
      </c>
    </row>
    <row r="29" ht="19.5" customHeight="1">
      <c r="A29" s="17" t="s">
        <v>18</v>
      </c>
      <c r="B29" s="17" t="s">
        <v>19</v>
      </c>
      <c r="C29" s="17">
        <v>3.0</v>
      </c>
      <c r="D29" s="17">
        <v>1.0</v>
      </c>
      <c r="E29" s="28"/>
      <c r="F29" s="19">
        <v>27.0</v>
      </c>
      <c r="G29" s="17">
        <v>77.0</v>
      </c>
      <c r="H29" s="35" t="inlineStr">
        <is>
          <t>T. Mesin, T. Kimia, T. Fisika, Teknik Sistem dan Industri, T. Material dan Metalurgi, T. Pangan, Rkp</t>
        </is>
      </c>
      <c r="I29" s="17" t="s">
        <v>92</v>
      </c>
      <c r="J29" s="17" t="s">
        <v>27</v>
      </c>
      <c r="K29" s="22" t="s">
        <v>24</v>
      </c>
      <c r="L29" s="31" t="s">
        <v>108</v>
      </c>
      <c r="M29" s="32"/>
      <c r="N29" s="25"/>
      <c r="O29" s="26" t="s">
        <v>109</v>
      </c>
      <c r="P29" s="27" t="str">
        <f>VLOOKUP(O29,Sheet1!$B$3:$D$55,3,FALSE)</f>
        <v>KLIK UNTUK CHAT</v>
      </c>
    </row>
    <row r="30" ht="19.5" customHeight="1">
      <c r="A30" s="17" t="s">
        <v>18</v>
      </c>
      <c r="B30" s="17" t="s">
        <v>19</v>
      </c>
      <c r="C30" s="17">
        <v>3.0</v>
      </c>
      <c r="D30" s="17">
        <v>1.0</v>
      </c>
      <c r="E30" s="28"/>
      <c r="F30" s="19">
        <v>28.0</v>
      </c>
      <c r="G30" s="17">
        <v>77.0</v>
      </c>
      <c r="H30" s="35" t="inlineStr">
        <is>
          <t>T. Mesin, T. Kimia, T. Fisika, Teknik Sistem dan Industri, T. Material dan Metalurgi, T. Pangan, Rkp</t>
        </is>
      </c>
      <c r="I30" s="17" t="s">
        <v>92</v>
      </c>
      <c r="J30" s="17" t="s">
        <v>32</v>
      </c>
      <c r="K30" s="22" t="s">
        <v>24</v>
      </c>
      <c r="L30" s="31" t="s">
        <v>110</v>
      </c>
      <c r="M30" s="32"/>
      <c r="N30" s="25"/>
      <c r="O30" s="33" t="s">
        <v>111</v>
      </c>
      <c r="P30" s="27" t="str">
        <f>VLOOKUP(O30,Sheet1!$B$3:$D$55,3,FALSE)</f>
        <v>KLIK UNTUK CHAT</v>
      </c>
    </row>
    <row r="31" ht="19.5" customHeight="1">
      <c r="A31" s="17" t="s">
        <v>18</v>
      </c>
      <c r="B31" s="17" t="s">
        <v>19</v>
      </c>
      <c r="C31" s="17">
        <v>3.0</v>
      </c>
      <c r="D31" s="17">
        <v>1.0</v>
      </c>
      <c r="E31" s="28"/>
      <c r="F31" s="19">
        <v>29.0</v>
      </c>
      <c r="G31" s="17">
        <v>77.0</v>
      </c>
      <c r="H31" s="35" t="inlineStr">
        <is>
          <t>T. Mesin, T. Kimia, T. Fisika, Teknik Sistem dan Industri, T. Material dan Metalurgi, T. Pangan, Rkp</t>
        </is>
      </c>
      <c r="I31" s="17" t="s">
        <v>92</v>
      </c>
      <c r="J31" s="17" t="s">
        <v>37</v>
      </c>
      <c r="K31" s="22" t="s">
        <v>38</v>
      </c>
      <c r="L31" s="31" t="s">
        <v>112</v>
      </c>
      <c r="M31" s="32"/>
      <c r="N31" s="25"/>
      <c r="O31" s="33" t="s">
        <v>113</v>
      </c>
      <c r="P31" s="27" t="str">
        <f>VLOOKUP(O31,Sheet1!$B$3:$D$55,3,FALSE)</f>
        <v>KLIK UNTUK CHAT</v>
      </c>
    </row>
    <row r="32" ht="27.0" customHeight="1">
      <c r="A32" s="17" t="s">
        <v>18</v>
      </c>
      <c r="B32" s="17" t="s">
        <v>19</v>
      </c>
      <c r="C32" s="17">
        <v>3.0</v>
      </c>
      <c r="D32" s="17">
        <v>1.0</v>
      </c>
      <c r="E32" s="28"/>
      <c r="F32" s="19">
        <v>30.0</v>
      </c>
      <c r="G32" s="17">
        <v>77.0</v>
      </c>
      <c r="H32" s="35" t="inlineStr">
        <is>
          <t>T. Mesin, T. Kimia, T. Fisika, Teknik Sistem dan Industri, T. Material dan Metalurgi, T. Pangan, Rkp</t>
        </is>
      </c>
      <c r="I32" s="17" t="s">
        <v>92</v>
      </c>
      <c r="J32" s="17" t="s">
        <v>41</v>
      </c>
      <c r="K32" s="22" t="s">
        <v>38</v>
      </c>
      <c r="L32" s="31" t="s">
        <v>114</v>
      </c>
      <c r="M32" s="32" t="s">
        <v>70</v>
      </c>
      <c r="N32" s="25" t="s">
        <v>71</v>
      </c>
      <c r="O32" s="33" t="s">
        <v>89</v>
      </c>
      <c r="P32" s="27" t="str">
        <f>VLOOKUP(O32,Sheet1!$B$3:$D$55,3,FALSE)</f>
        <v>KLIK UNTUK CHAT</v>
      </c>
    </row>
    <row r="33" ht="27.0" customHeight="1">
      <c r="A33" s="17" t="s">
        <v>18</v>
      </c>
      <c r="B33" s="17" t="s">
        <v>19</v>
      </c>
      <c r="C33" s="17">
        <v>3.0</v>
      </c>
      <c r="D33" s="17">
        <v>1.0</v>
      </c>
      <c r="E33" s="28"/>
      <c r="F33" s="19">
        <v>31.0</v>
      </c>
      <c r="G33" s="17">
        <v>77.0</v>
      </c>
      <c r="H33" s="35" t="inlineStr">
        <is>
          <t>T. Mesin, T. Kimia, T. Fisika, Teknik Sistem dan Industri, T. Material dan Metalurgi, T. Pangan, Rkp</t>
        </is>
      </c>
      <c r="I33" s="17" t="s">
        <v>92</v>
      </c>
      <c r="J33" s="17" t="s">
        <v>43</v>
      </c>
      <c r="K33" s="22" t="s">
        <v>38</v>
      </c>
      <c r="L33" s="31" t="s">
        <v>115</v>
      </c>
      <c r="M33" s="32" t="s">
        <v>34</v>
      </c>
      <c r="N33" s="25" t="s">
        <v>35</v>
      </c>
      <c r="O33" s="33" t="s">
        <v>116</v>
      </c>
      <c r="P33" s="27" t="str">
        <f>VLOOKUP(O33,Sheet1!$B$3:$D$55,3,FALSE)</f>
        <v>KLIK UNTUK CHAT</v>
      </c>
    </row>
    <row r="34" ht="27.0" customHeight="1">
      <c r="A34" s="17" t="s">
        <v>18</v>
      </c>
      <c r="B34" s="17" t="s">
        <v>19</v>
      </c>
      <c r="C34" s="17">
        <v>3.0</v>
      </c>
      <c r="D34" s="17">
        <v>1.0</v>
      </c>
      <c r="E34" s="28"/>
      <c r="F34" s="19">
        <v>32.0</v>
      </c>
      <c r="G34" s="17">
        <v>77.0</v>
      </c>
      <c r="H34" s="35" t="inlineStr">
        <is>
          <t>T. Mesin, T. Kimia, T. Fisika, Teknik Sistem dan Industri, T. Material dan Metalurgi, T. Pangan, Rkp</t>
        </is>
      </c>
      <c r="I34" s="17" t="s">
        <v>92</v>
      </c>
      <c r="J34" s="17" t="s">
        <v>46</v>
      </c>
      <c r="K34" s="22" t="s">
        <v>38</v>
      </c>
      <c r="L34" s="31" t="s">
        <v>117</v>
      </c>
      <c r="M34" s="32" t="s">
        <v>34</v>
      </c>
      <c r="N34" s="25" t="s">
        <v>35</v>
      </c>
      <c r="O34" s="33" t="s">
        <v>118</v>
      </c>
      <c r="P34" s="27" t="str">
        <f>VLOOKUP(O34,Sheet1!$B$3:$D$55,3,FALSE)</f>
        <v>KLIK UNTUK CHAT</v>
      </c>
    </row>
    <row r="35" ht="27.0" customHeight="1">
      <c r="A35" s="17" t="s">
        <v>18</v>
      </c>
      <c r="B35" s="17" t="s">
        <v>19</v>
      </c>
      <c r="C35" s="17">
        <v>3.0</v>
      </c>
      <c r="D35" s="17">
        <v>1.0</v>
      </c>
      <c r="E35" s="28"/>
      <c r="F35" s="19">
        <v>33.0</v>
      </c>
      <c r="G35" s="17">
        <v>77.0</v>
      </c>
      <c r="H35" s="35" t="inlineStr">
        <is>
          <t>T. Mesin, T. Kimia, T. Fisika, Teknik Sistem dan Industri, T. Material dan Metalurgi, T. Pangan, Rkp</t>
        </is>
      </c>
      <c r="I35" s="17" t="s">
        <v>92</v>
      </c>
      <c r="J35" s="17" t="s">
        <v>49</v>
      </c>
      <c r="K35" s="22" t="s">
        <v>50</v>
      </c>
      <c r="L35" s="23" t="s">
        <v>119</v>
      </c>
      <c r="M35" s="32" t="s">
        <v>29</v>
      </c>
      <c r="N35" s="25" t="s">
        <v>30</v>
      </c>
      <c r="O35" s="33" t="s">
        <v>120</v>
      </c>
      <c r="P35" s="27" t="str">
        <f>VLOOKUP(O35,Sheet1!$B$3:$D$55,3,FALSE)</f>
        <v>KLIK UNTUK CHAT</v>
      </c>
    </row>
    <row r="36" ht="27.0" customHeight="1">
      <c r="A36" s="36" t="s">
        <v>18</v>
      </c>
      <c r="B36" s="36" t="s">
        <v>19</v>
      </c>
      <c r="C36" s="36">
        <v>3.0</v>
      </c>
      <c r="D36" s="36" t="s">
        <v>55</v>
      </c>
      <c r="E36" s="28"/>
      <c r="F36" s="38">
        <v>105.0</v>
      </c>
      <c r="G36" s="36">
        <v>53.0</v>
      </c>
      <c r="H36" s="39" t="inlineStr">
        <is>
          <t>T. Mesin, T. Kimia, T. Fisika, Teknik Sistem dan Industri, T. Material dan Metalurgi, T. Pangan</t>
        </is>
      </c>
      <c r="I36" s="36" t="s">
        <v>92</v>
      </c>
      <c r="J36" s="36" t="s">
        <v>122</v>
      </c>
      <c r="K36" s="40" t="s">
        <v>87</v>
      </c>
      <c r="L36" s="41" t="s">
        <v>123</v>
      </c>
      <c r="M36" s="25"/>
      <c r="N36" s="54"/>
      <c r="O36" s="33" t="s">
        <v>124</v>
      </c>
      <c r="P36" s="27" t="str">
        <f>VLOOKUP(O36,Sheet1!$B$3:$D$55,3,FALSE)</f>
        <v>KLIK UNTUK CHAT</v>
      </c>
    </row>
    <row r="37" ht="27.0" customHeight="1">
      <c r="A37" s="36" t="s">
        <v>18</v>
      </c>
      <c r="B37" s="36" t="s">
        <v>19</v>
      </c>
      <c r="C37" s="36">
        <v>3.0</v>
      </c>
      <c r="D37" s="36" t="s">
        <v>55</v>
      </c>
      <c r="E37" s="55"/>
      <c r="F37" s="38">
        <v>106.0</v>
      </c>
      <c r="G37" s="36">
        <v>49.0</v>
      </c>
      <c r="H37" s="39" t="inlineStr">
        <is>
          <t>T. Mesin, T. Kimia, T. Fisika, Teknik Sistem dan Industri, T. Material dan Metalurgi, T. Pangan</t>
        </is>
      </c>
      <c r="I37" s="36" t="s">
        <v>92</v>
      </c>
      <c r="J37" s="36" t="s">
        <v>86</v>
      </c>
      <c r="K37" s="40" t="s">
        <v>87</v>
      </c>
      <c r="L37" s="41" t="s">
        <v>125</v>
      </c>
      <c r="M37" s="42" t="s">
        <v>29</v>
      </c>
      <c r="N37" s="43" t="s">
        <v>30</v>
      </c>
      <c r="O37" s="33" t="s">
        <v>126</v>
      </c>
      <c r="P37" s="27" t="str">
        <f>VLOOKUP(O37,Sheet1!$B$3:$D$55,3,FALSE)</f>
        <v>KLIK UNTUK CHAT</v>
      </c>
    </row>
    <row r="38" ht="19.5" customHeight="1">
      <c r="A38" s="45" t="s">
        <v>18</v>
      </c>
      <c r="B38" s="45" t="s">
        <v>19</v>
      </c>
      <c r="C38" s="45">
        <v>3.0</v>
      </c>
      <c r="D38" s="45">
        <v>1.0</v>
      </c>
      <c r="E38" s="46" t="s">
        <v>127</v>
      </c>
      <c r="F38" s="47">
        <v>34.0</v>
      </c>
      <c r="G38" s="45">
        <v>77.0</v>
      </c>
      <c r="H38" s="48" t="inlineStr">
        <is>
          <t>Fisika, Matematika, Statistika, Kimia, Biologi, Aktuaria, Saik, Sdata</t>
        </is>
      </c>
      <c r="I38" s="45" t="s">
        <v>129</v>
      </c>
      <c r="J38" s="45" t="s">
        <v>62</v>
      </c>
      <c r="K38" s="49" t="s">
        <v>63</v>
      </c>
      <c r="L38" s="50" t="s">
        <v>130</v>
      </c>
      <c r="M38" s="32"/>
      <c r="N38" s="25"/>
      <c r="O38" s="26" t="s">
        <v>131</v>
      </c>
      <c r="P38" s="27" t="str">
        <f>VLOOKUP(O38,Sheet1!$B$3:$D$55,3,FALSE)</f>
        <v>KLIK UNTUK CHAT</v>
      </c>
    </row>
    <row r="39" ht="19.5" customHeight="1">
      <c r="A39" s="45" t="s">
        <v>18</v>
      </c>
      <c r="B39" s="45" t="s">
        <v>19</v>
      </c>
      <c r="C39" s="45">
        <v>3.0</v>
      </c>
      <c r="D39" s="45">
        <v>1.0</v>
      </c>
      <c r="E39" s="28"/>
      <c r="F39" s="47">
        <v>35.0</v>
      </c>
      <c r="G39" s="45">
        <v>77.0</v>
      </c>
      <c r="H39" s="48" t="inlineStr">
        <is>
          <t>Fisika, Matematika, Statistika, Kimia, Biologi, Aktuaria, Saik, Sdata</t>
        </is>
      </c>
      <c r="I39" s="45" t="s">
        <v>129</v>
      </c>
      <c r="J39" s="45" t="s">
        <v>65</v>
      </c>
      <c r="K39" s="49" t="s">
        <v>63</v>
      </c>
      <c r="L39" s="50" t="s">
        <v>95</v>
      </c>
      <c r="M39" s="32"/>
      <c r="N39" s="25"/>
      <c r="O39" s="33" t="s">
        <v>132</v>
      </c>
      <c r="P39" s="27" t="str">
        <f>VLOOKUP(O39,Sheet1!$B$3:$D$55,3,FALSE)</f>
        <v>KLIK UNTUK CHAT</v>
      </c>
    </row>
    <row r="40" ht="19.5" customHeight="1">
      <c r="A40" s="45" t="s">
        <v>18</v>
      </c>
      <c r="B40" s="45" t="s">
        <v>19</v>
      </c>
      <c r="C40" s="45">
        <v>3.0</v>
      </c>
      <c r="D40" s="45">
        <v>1.0</v>
      </c>
      <c r="E40" s="28"/>
      <c r="F40" s="47">
        <v>36.0</v>
      </c>
      <c r="G40" s="45">
        <v>76.0</v>
      </c>
      <c r="H40" s="48" t="inlineStr">
        <is>
          <t>Fisika, Matematika, Statistika, Kimia, Biologi, Aktuaria, Saik, Sdata</t>
        </is>
      </c>
      <c r="I40" s="45" t="s">
        <v>129</v>
      </c>
      <c r="J40" s="45" t="s">
        <v>68</v>
      </c>
      <c r="K40" s="49" t="s">
        <v>63</v>
      </c>
      <c r="L40" s="50" t="s">
        <v>133</v>
      </c>
      <c r="M40" s="32"/>
      <c r="N40" s="25"/>
      <c r="O40" s="33" t="s">
        <v>134</v>
      </c>
      <c r="P40" s="27" t="str">
        <f>VLOOKUP(O40,Sheet1!$B$3:$D$55,3,FALSE)</f>
        <v>KLIK UNTUK CHAT</v>
      </c>
    </row>
    <row r="41" ht="27.75" customHeight="1">
      <c r="A41" s="45" t="s">
        <v>18</v>
      </c>
      <c r="B41" s="45" t="s">
        <v>19</v>
      </c>
      <c r="C41" s="45">
        <v>3.0</v>
      </c>
      <c r="D41" s="45">
        <v>1.0</v>
      </c>
      <c r="E41" s="28"/>
      <c r="F41" s="47">
        <v>37.0</v>
      </c>
      <c r="G41" s="45">
        <v>76.0</v>
      </c>
      <c r="H41" s="48" t="inlineStr">
        <is>
          <t>Fisika, Matematika, Statistika, Kimia, Biologi, Aktuaria, Saik, Sdata</t>
        </is>
      </c>
      <c r="I41" s="45" t="s">
        <v>129</v>
      </c>
      <c r="J41" s="45" t="s">
        <v>73</v>
      </c>
      <c r="K41" s="49" t="s">
        <v>63</v>
      </c>
      <c r="L41" s="50" t="s">
        <v>135</v>
      </c>
      <c r="M41" s="51" t="s">
        <v>29</v>
      </c>
      <c r="N41" s="52" t="s">
        <v>30</v>
      </c>
      <c r="O41" s="33" t="s">
        <v>136</v>
      </c>
      <c r="P41" s="27" t="str">
        <f>VLOOKUP(O41,Sheet1!$B$3:$D$55,3,FALSE)</f>
        <v>KLIK UNTUK CHAT</v>
      </c>
    </row>
    <row r="42" ht="27.75" customHeight="1">
      <c r="A42" s="45" t="s">
        <v>18</v>
      </c>
      <c r="B42" s="45" t="s">
        <v>19</v>
      </c>
      <c r="C42" s="45">
        <v>3.0</v>
      </c>
      <c r="D42" s="45">
        <v>1.0</v>
      </c>
      <c r="E42" s="28"/>
      <c r="F42" s="47">
        <v>38.0</v>
      </c>
      <c r="G42" s="45">
        <v>76.0</v>
      </c>
      <c r="H42" s="48" t="inlineStr">
        <is>
          <t>Fisika, Matematika, Statistika, Kimia, Biologi, Aktuaria, Saik, Sdata</t>
        </is>
      </c>
      <c r="I42" s="45" t="s">
        <v>129</v>
      </c>
      <c r="J42" s="45" t="s">
        <v>76</v>
      </c>
      <c r="K42" s="49" t="s">
        <v>63</v>
      </c>
      <c r="L42" s="50" t="s">
        <v>137</v>
      </c>
      <c r="M42" s="51" t="s">
        <v>29</v>
      </c>
      <c r="N42" s="52" t="s">
        <v>30</v>
      </c>
      <c r="O42" s="33" t="s">
        <v>138</v>
      </c>
      <c r="P42" s="27" t="str">
        <f>VLOOKUP(O42,Sheet1!$B$3:$D$55,3,FALSE)</f>
        <v>KLIK UNTUK CHAT</v>
      </c>
    </row>
    <row r="43" ht="27.75" customHeight="1">
      <c r="A43" s="45" t="s">
        <v>18</v>
      </c>
      <c r="B43" s="45" t="s">
        <v>19</v>
      </c>
      <c r="C43" s="45">
        <v>3.0</v>
      </c>
      <c r="D43" s="45">
        <v>1.0</v>
      </c>
      <c r="E43" s="28"/>
      <c r="F43" s="47">
        <v>39.0</v>
      </c>
      <c r="G43" s="45">
        <v>76.0</v>
      </c>
      <c r="H43" s="48" t="inlineStr">
        <is>
          <t>Fisika, Matematika, Statistika, Kimia, Biologi, Aktuaria, Saik, Sdata</t>
        </is>
      </c>
      <c r="I43" s="45" t="s">
        <v>129</v>
      </c>
      <c r="J43" s="45" t="s">
        <v>78</v>
      </c>
      <c r="K43" s="49" t="s">
        <v>79</v>
      </c>
      <c r="L43" s="50" t="s">
        <v>139</v>
      </c>
      <c r="M43" s="51" t="s">
        <v>29</v>
      </c>
      <c r="N43" s="52" t="s">
        <v>30</v>
      </c>
      <c r="O43" s="33" t="s">
        <v>140</v>
      </c>
      <c r="P43" s="27" t="str">
        <f>VLOOKUP(O43,Sheet1!$B$3:$D$55,3,FALSE)</f>
        <v>KLIK UNTUK CHAT</v>
      </c>
    </row>
    <row r="44" ht="27.75" customHeight="1">
      <c r="A44" s="45" t="s">
        <v>18</v>
      </c>
      <c r="B44" s="45" t="s">
        <v>19</v>
      </c>
      <c r="C44" s="45">
        <v>3.0</v>
      </c>
      <c r="D44" s="45">
        <v>1.0</v>
      </c>
      <c r="E44" s="28"/>
      <c r="F44" s="47">
        <v>40.0</v>
      </c>
      <c r="G44" s="45">
        <v>76.0</v>
      </c>
      <c r="H44" s="48" t="inlineStr">
        <is>
          <t>Fisika, Matematika, Statistika, Kimia, Biologi, Aktuaria, Saik, Sdata</t>
        </is>
      </c>
      <c r="I44" s="45" t="s">
        <v>129</v>
      </c>
      <c r="J44" s="45" t="s">
        <v>81</v>
      </c>
      <c r="K44" s="49" t="s">
        <v>79</v>
      </c>
      <c r="L44" s="50" t="s">
        <v>139</v>
      </c>
      <c r="M44" s="51" t="s">
        <v>29</v>
      </c>
      <c r="N44" s="52" t="s">
        <v>30</v>
      </c>
      <c r="O44" s="33" t="s">
        <v>111</v>
      </c>
      <c r="P44" s="27" t="str">
        <f>VLOOKUP(O44,Sheet1!$B$3:$D$55,3,FALSE)</f>
        <v>KLIK UNTUK CHAT</v>
      </c>
    </row>
    <row r="45" ht="27.75" customHeight="1">
      <c r="A45" s="45" t="s">
        <v>18</v>
      </c>
      <c r="B45" s="45" t="s">
        <v>19</v>
      </c>
      <c r="C45" s="45">
        <v>3.0</v>
      </c>
      <c r="D45" s="45">
        <v>1.0</v>
      </c>
      <c r="E45" s="28"/>
      <c r="F45" s="47">
        <v>41.0</v>
      </c>
      <c r="G45" s="45">
        <v>76.0</v>
      </c>
      <c r="H45" s="48" t="inlineStr">
        <is>
          <t>Fisika, Matematika, Statistika, Kimia, Biologi, Aktuaria, Saik, Sdata</t>
        </is>
      </c>
      <c r="I45" s="45" t="s">
        <v>129</v>
      </c>
      <c r="J45" s="45" t="s">
        <v>97</v>
      </c>
      <c r="K45" s="49" t="s">
        <v>79</v>
      </c>
      <c r="L45" s="50" t="s">
        <v>137</v>
      </c>
      <c r="M45" s="51" t="s">
        <v>29</v>
      </c>
      <c r="N45" s="52" t="s">
        <v>30</v>
      </c>
      <c r="O45" s="33" t="s">
        <v>141</v>
      </c>
      <c r="P45" s="27" t="str">
        <f>VLOOKUP(O45,Sheet1!$B$3:$D$55,3,FALSE)</f>
        <v>KLIK UNTUK CHAT</v>
      </c>
    </row>
    <row r="46" ht="27.75" customHeight="1">
      <c r="A46" s="45" t="s">
        <v>18</v>
      </c>
      <c r="B46" s="45" t="s">
        <v>19</v>
      </c>
      <c r="C46" s="45">
        <v>3.0</v>
      </c>
      <c r="D46" s="45">
        <v>1.0</v>
      </c>
      <c r="E46" s="28"/>
      <c r="F46" s="47">
        <v>42.0</v>
      </c>
      <c r="G46" s="45">
        <v>76.0</v>
      </c>
      <c r="H46" s="48" t="inlineStr">
        <is>
          <t>Fisika, Matematika, Statistika, Kimia, Biologi, Aktuaria, Saik, Sdata</t>
        </is>
      </c>
      <c r="I46" s="45" t="s">
        <v>129</v>
      </c>
      <c r="J46" s="45" t="s">
        <v>100</v>
      </c>
      <c r="K46" s="49" t="s">
        <v>79</v>
      </c>
      <c r="L46" s="50" t="s">
        <v>142</v>
      </c>
      <c r="M46" s="51" t="s">
        <v>70</v>
      </c>
      <c r="N46" s="52" t="s">
        <v>71</v>
      </c>
      <c r="O46" s="26" t="s">
        <v>143</v>
      </c>
      <c r="P46" s="27" t="str">
        <f>VLOOKUP(O46,Sheet1!$B$3:$D$55,3,FALSE)</f>
        <v>KLIK UNTUK CHAT</v>
      </c>
    </row>
    <row r="47" ht="19.5" customHeight="1">
      <c r="A47" s="45" t="s">
        <v>18</v>
      </c>
      <c r="B47" s="45" t="s">
        <v>19</v>
      </c>
      <c r="C47" s="45">
        <v>3.0</v>
      </c>
      <c r="D47" s="45">
        <v>1.0</v>
      </c>
      <c r="E47" s="28"/>
      <c r="F47" s="47">
        <v>43.0</v>
      </c>
      <c r="G47" s="45">
        <v>76.0</v>
      </c>
      <c r="H47" s="48" t="inlineStr">
        <is>
          <t>Fisika, Matematika, Statistika, Kimia, Biologi, Aktuaria, Saik, Sdata</t>
        </is>
      </c>
      <c r="I47" s="45" t="s">
        <v>129</v>
      </c>
      <c r="J47" s="45" t="s">
        <v>103</v>
      </c>
      <c r="K47" s="49" t="s">
        <v>79</v>
      </c>
      <c r="L47" s="50" t="s">
        <v>112</v>
      </c>
      <c r="M47" s="56"/>
      <c r="N47" s="30"/>
      <c r="O47" s="54" t="s">
        <v>144</v>
      </c>
      <c r="P47" s="27" t="str">
        <f>VLOOKUP(O47,Sheet1!$B$3:$D$55,3,FALSE)</f>
        <v>KLIK UNTUK CHAT</v>
      </c>
    </row>
    <row r="48" ht="27.75" customHeight="1">
      <c r="A48" s="45" t="s">
        <v>18</v>
      </c>
      <c r="B48" s="45" t="s">
        <v>19</v>
      </c>
      <c r="C48" s="45">
        <v>3.0</v>
      </c>
      <c r="D48" s="45">
        <v>1.0</v>
      </c>
      <c r="E48" s="28"/>
      <c r="F48" s="47">
        <v>44.0</v>
      </c>
      <c r="G48" s="45">
        <v>76.0</v>
      </c>
      <c r="H48" s="48" t="inlineStr">
        <is>
          <t>Fisika, Matematika, Statistika, Kimia, Biologi, Aktuaria, Saik, Sdata</t>
        </is>
      </c>
      <c r="I48" s="45" t="s">
        <v>129</v>
      </c>
      <c r="J48" s="45" t="s">
        <v>104</v>
      </c>
      <c r="K48" s="49" t="s">
        <v>24</v>
      </c>
      <c r="L48" s="50" t="s">
        <v>145</v>
      </c>
      <c r="M48" s="51" t="s">
        <v>34</v>
      </c>
      <c r="N48" s="52" t="s">
        <v>35</v>
      </c>
      <c r="O48" s="33" t="s">
        <v>146</v>
      </c>
      <c r="P48" s="27" t="str">
        <f>VLOOKUP(O48,Sheet1!$B$3:$D$55,3,FALSE)</f>
        <v>KLIK UNTUK CHAT</v>
      </c>
    </row>
    <row r="49" ht="27.75" customHeight="1">
      <c r="A49" s="45" t="s">
        <v>18</v>
      </c>
      <c r="B49" s="45" t="s">
        <v>19</v>
      </c>
      <c r="C49" s="45">
        <v>3.0</v>
      </c>
      <c r="D49" s="45">
        <v>1.0</v>
      </c>
      <c r="E49" s="28"/>
      <c r="F49" s="47">
        <v>45.0</v>
      </c>
      <c r="G49" s="45">
        <v>76.0</v>
      </c>
      <c r="H49" s="48" t="inlineStr">
        <is>
          <t>Fisika, Matematika, Statistika, Kimia, Biologi, Aktuaria, Saik, Sdata</t>
        </is>
      </c>
      <c r="I49" s="45" t="s">
        <v>129</v>
      </c>
      <c r="J49" s="45" t="s">
        <v>23</v>
      </c>
      <c r="K49" s="49" t="s">
        <v>24</v>
      </c>
      <c r="L49" s="50" t="s">
        <v>147</v>
      </c>
      <c r="M49" s="51" t="s">
        <v>148</v>
      </c>
      <c r="N49" s="52" t="s">
        <v>149</v>
      </c>
      <c r="O49" s="26" t="s">
        <v>106</v>
      </c>
      <c r="P49" s="27" t="str">
        <f>VLOOKUP(O49,Sheet1!$B$3:$D$55,3,FALSE)</f>
        <v>KLIK UNTUK CHAT</v>
      </c>
    </row>
    <row r="50" ht="27.75" customHeight="1">
      <c r="A50" s="45" t="s">
        <v>18</v>
      </c>
      <c r="B50" s="45" t="s">
        <v>19</v>
      </c>
      <c r="C50" s="45">
        <v>3.0</v>
      </c>
      <c r="D50" s="45">
        <v>1.0</v>
      </c>
      <c r="E50" s="28"/>
      <c r="F50" s="47">
        <v>46.0</v>
      </c>
      <c r="G50" s="45">
        <v>76.0</v>
      </c>
      <c r="H50" s="48" t="inlineStr">
        <is>
          <t>Fisika, Matematika, Statistika, Kimia, Biologi, Aktuaria, Saik, Sdata</t>
        </is>
      </c>
      <c r="I50" s="45" t="s">
        <v>129</v>
      </c>
      <c r="J50" s="45" t="s">
        <v>27</v>
      </c>
      <c r="K50" s="49" t="s">
        <v>24</v>
      </c>
      <c r="L50" s="50" t="s">
        <v>150</v>
      </c>
      <c r="M50" s="51" t="s">
        <v>29</v>
      </c>
      <c r="N50" s="52" t="s">
        <v>30</v>
      </c>
      <c r="O50" s="26" t="s">
        <v>151</v>
      </c>
      <c r="P50" s="27" t="str">
        <f>VLOOKUP(O50,Sheet1!$B$3:$D$55,3,FALSE)</f>
        <v>KLIK UNTUK CHAT</v>
      </c>
    </row>
    <row r="51" ht="27.75" customHeight="1">
      <c r="A51" s="36" t="s">
        <v>18</v>
      </c>
      <c r="B51" s="36" t="s">
        <v>19</v>
      </c>
      <c r="C51" s="36">
        <v>3.0</v>
      </c>
      <c r="D51" s="36" t="s">
        <v>55</v>
      </c>
      <c r="E51" s="28"/>
      <c r="F51" s="38">
        <v>107.0</v>
      </c>
      <c r="G51" s="36">
        <v>60.0</v>
      </c>
      <c r="H51" s="39" t="inlineStr">
        <is>
          <t>Fisika, Matematika, Statistika, Kimia, Biologi, Aktuaria, Saik, Sdata</t>
        </is>
      </c>
      <c r="I51" s="36" t="s">
        <v>129</v>
      </c>
      <c r="J51" s="36" t="s">
        <v>56</v>
      </c>
      <c r="K51" s="40" t="s">
        <v>50</v>
      </c>
      <c r="L51" s="41" t="s">
        <v>152</v>
      </c>
      <c r="M51" s="32"/>
      <c r="N51" s="25"/>
      <c r="O51" s="33" t="s">
        <v>118</v>
      </c>
      <c r="P51" s="27" t="str">
        <f>VLOOKUP(O51,Sheet1!$B$3:$D$55,3,FALSE)</f>
        <v>KLIK UNTUK CHAT</v>
      </c>
    </row>
    <row r="52" ht="27.75" customHeight="1">
      <c r="A52" s="36" t="s">
        <v>18</v>
      </c>
      <c r="B52" s="36" t="s">
        <v>19</v>
      </c>
      <c r="C52" s="36">
        <v>3.0</v>
      </c>
      <c r="D52" s="36" t="s">
        <v>55</v>
      </c>
      <c r="E52" s="55"/>
      <c r="F52" s="38">
        <v>108.0</v>
      </c>
      <c r="G52" s="36">
        <v>30.0</v>
      </c>
      <c r="H52" s="39" t="inlineStr">
        <is>
          <t>Fisika, Matematika, Statistika, Kimia, Biologi, Aktuaria, Saik, Sdata</t>
        </is>
      </c>
      <c r="I52" s="36" t="s">
        <v>129</v>
      </c>
      <c r="J52" s="36" t="s">
        <v>153</v>
      </c>
      <c r="K52" s="40" t="s">
        <v>87</v>
      </c>
      <c r="L52" s="41" t="s">
        <v>154</v>
      </c>
      <c r="M52" s="32"/>
      <c r="N52" s="25"/>
      <c r="O52" s="33" t="s">
        <v>155</v>
      </c>
      <c r="P52" s="27" t="str">
        <f>VLOOKUP(O52,Sheet1!$B$3:$D$55,3,FALSE)</f>
        <v>KLIK UNTUK CHAT</v>
      </c>
    </row>
    <row r="53" ht="27.75" customHeight="1">
      <c r="A53" s="17" t="s">
        <v>18</v>
      </c>
      <c r="B53" s="17" t="s">
        <v>19</v>
      </c>
      <c r="C53" s="17">
        <v>3.0</v>
      </c>
      <c r="D53" s="17">
        <v>1.0</v>
      </c>
      <c r="E53" s="53" t="s">
        <v>156</v>
      </c>
      <c r="F53" s="19">
        <v>47.0</v>
      </c>
      <c r="G53" s="17">
        <v>76.0</v>
      </c>
      <c r="H53" s="57" t="inlineStr">
        <is>
          <t>T. Elektro, T. Biomedik, T. Komputer, Teknik Informatika, Teknologi Informasi, Telkom, Rpl, Rka</t>
        </is>
      </c>
      <c r="I53" s="17" t="s">
        <v>158</v>
      </c>
      <c r="J53" s="17" t="s">
        <v>81</v>
      </c>
      <c r="K53" s="22" t="s">
        <v>79</v>
      </c>
      <c r="L53" s="31" t="s">
        <v>66</v>
      </c>
      <c r="M53" s="7" t="s">
        <v>29</v>
      </c>
      <c r="N53" s="25" t="s">
        <v>30</v>
      </c>
      <c r="O53" s="33" t="s">
        <v>159</v>
      </c>
      <c r="P53" s="27" t="str">
        <f>VLOOKUP(O53,Sheet1!$B$3:$D$55,3,FALSE)</f>
        <v>KLIK UNTUK CHAT</v>
      </c>
    </row>
    <row r="54" ht="27.75" customHeight="1">
      <c r="A54" s="17" t="s">
        <v>18</v>
      </c>
      <c r="B54" s="17" t="s">
        <v>19</v>
      </c>
      <c r="C54" s="17">
        <v>3.0</v>
      </c>
      <c r="D54" s="17">
        <v>1.0</v>
      </c>
      <c r="E54" s="28"/>
      <c r="F54" s="19">
        <v>48.0</v>
      </c>
      <c r="G54" s="17">
        <v>76.0</v>
      </c>
      <c r="H54" s="57" t="inlineStr">
        <is>
          <t>T. Elektro, T. Biomedik, T. Komputer, Teknik Informatika, Teknologi Informasi, Telkom, Rpl, Rka</t>
        </is>
      </c>
      <c r="I54" s="17" t="s">
        <v>158</v>
      </c>
      <c r="J54" s="17" t="s">
        <v>97</v>
      </c>
      <c r="K54" s="22" t="s">
        <v>79</v>
      </c>
      <c r="L54" s="31" t="s">
        <v>160</v>
      </c>
      <c r="M54" s="32"/>
      <c r="N54" s="25"/>
      <c r="O54" s="26" t="s">
        <v>72</v>
      </c>
      <c r="P54" s="27" t="str">
        <f>VLOOKUP(O54,Sheet1!$B$3:$D$55,3,FALSE)</f>
        <v>KLIK UNTUK CHAT</v>
      </c>
    </row>
    <row r="55" ht="27.75" customHeight="1">
      <c r="A55" s="17" t="s">
        <v>18</v>
      </c>
      <c r="B55" s="17" t="s">
        <v>19</v>
      </c>
      <c r="C55" s="17">
        <v>3.0</v>
      </c>
      <c r="D55" s="17">
        <v>1.0</v>
      </c>
      <c r="E55" s="28"/>
      <c r="F55" s="19">
        <v>49.0</v>
      </c>
      <c r="G55" s="17">
        <v>76.0</v>
      </c>
      <c r="H55" s="57" t="inlineStr">
        <is>
          <t>T. Elektro, T. Biomedik, T. Komputer, Teknik Informatika, Teknologi Informasi, Telkom, Rpl, Rka</t>
        </is>
      </c>
      <c r="I55" s="17" t="s">
        <v>158</v>
      </c>
      <c r="J55" s="17" t="s">
        <v>100</v>
      </c>
      <c r="K55" s="22" t="s">
        <v>79</v>
      </c>
      <c r="L55" s="31" t="s">
        <v>161</v>
      </c>
      <c r="M55" s="32" t="s">
        <v>70</v>
      </c>
      <c r="N55" s="25" t="s">
        <v>71</v>
      </c>
      <c r="O55" s="33" t="s">
        <v>124</v>
      </c>
      <c r="P55" s="27" t="str">
        <f>VLOOKUP(O55,Sheet1!$B$3:$D$55,3,FALSE)</f>
        <v>KLIK UNTUK CHAT</v>
      </c>
    </row>
    <row r="56" ht="27.75" customHeight="1">
      <c r="A56" s="17" t="s">
        <v>18</v>
      </c>
      <c r="B56" s="17" t="s">
        <v>19</v>
      </c>
      <c r="C56" s="17">
        <v>3.0</v>
      </c>
      <c r="D56" s="17">
        <v>1.0</v>
      </c>
      <c r="E56" s="28"/>
      <c r="F56" s="19">
        <v>50.0</v>
      </c>
      <c r="G56" s="17">
        <v>76.0</v>
      </c>
      <c r="H56" s="57" t="inlineStr">
        <is>
          <t>T. Elektro, T. Biomedik, T. Komputer, Teknik Informatika, Teknologi Informasi, Telkom, Rpl, Rka</t>
        </is>
      </c>
      <c r="I56" s="17" t="s">
        <v>158</v>
      </c>
      <c r="J56" s="17" t="s">
        <v>103</v>
      </c>
      <c r="K56" s="22" t="s">
        <v>79</v>
      </c>
      <c r="L56" s="23" t="s">
        <v>133</v>
      </c>
      <c r="M56" s="32"/>
      <c r="N56" s="25"/>
      <c r="O56" s="33" t="s">
        <v>126</v>
      </c>
      <c r="P56" s="27" t="str">
        <f>VLOOKUP(O56,Sheet1!$B$3:$D$55,3,FALSE)</f>
        <v>KLIK UNTUK CHAT</v>
      </c>
    </row>
    <row r="57" ht="27.75" customHeight="1">
      <c r="A57" s="17" t="s">
        <v>18</v>
      </c>
      <c r="B57" s="17" t="s">
        <v>19</v>
      </c>
      <c r="C57" s="17">
        <v>3.0</v>
      </c>
      <c r="D57" s="17">
        <v>1.0</v>
      </c>
      <c r="E57" s="28"/>
      <c r="F57" s="19">
        <v>51.0</v>
      </c>
      <c r="G57" s="17">
        <v>76.0</v>
      </c>
      <c r="H57" s="57" t="inlineStr">
        <is>
          <t>T. Elektro, T. Biomedik, T. Komputer, Teknik Informatika, Teknologi Informasi, Telkom, Rpl, Rka</t>
        </is>
      </c>
      <c r="I57" s="17" t="s">
        <v>158</v>
      </c>
      <c r="J57" s="17" t="s">
        <v>104</v>
      </c>
      <c r="K57" s="22" t="s">
        <v>24</v>
      </c>
      <c r="L57" s="23" t="s">
        <v>162</v>
      </c>
      <c r="M57" s="32" t="s">
        <v>29</v>
      </c>
      <c r="N57" s="25" t="s">
        <v>30</v>
      </c>
      <c r="O57" s="33" t="s">
        <v>163</v>
      </c>
      <c r="P57" s="27" t="str">
        <f>VLOOKUP(O57,Sheet1!$B$3:$D$55,3,FALSE)</f>
        <v>KLIK UNTUK CHAT</v>
      </c>
    </row>
    <row r="58" ht="27.75" customHeight="1">
      <c r="A58" s="17" t="s">
        <v>18</v>
      </c>
      <c r="B58" s="17" t="s">
        <v>19</v>
      </c>
      <c r="C58" s="17">
        <v>3.0</v>
      </c>
      <c r="D58" s="17">
        <v>1.0</v>
      </c>
      <c r="E58" s="28"/>
      <c r="F58" s="19">
        <v>52.0</v>
      </c>
      <c r="G58" s="17">
        <v>76.0</v>
      </c>
      <c r="H58" s="57" t="inlineStr">
        <is>
          <t>T. Elektro, T. Biomedik, T. Komputer, Teknik Informatika, Teknologi Informasi, Telkom, Rpl, Rka</t>
        </is>
      </c>
      <c r="I58" s="17" t="s">
        <v>158</v>
      </c>
      <c r="J58" s="17" t="s">
        <v>23</v>
      </c>
      <c r="K58" s="22" t="s">
        <v>24</v>
      </c>
      <c r="L58" s="31" t="s">
        <v>164</v>
      </c>
      <c r="M58" s="32" t="s">
        <v>29</v>
      </c>
      <c r="N58" s="25" t="s">
        <v>30</v>
      </c>
      <c r="O58" s="33" t="s">
        <v>165</v>
      </c>
      <c r="P58" s="27" t="str">
        <f>VLOOKUP(O58,Sheet1!$B$3:$D$55,3,FALSE)</f>
        <v>KLIK UNTUK CHAT</v>
      </c>
    </row>
    <row r="59" ht="27.75" customHeight="1">
      <c r="A59" s="17" t="s">
        <v>18</v>
      </c>
      <c r="B59" s="17" t="s">
        <v>19</v>
      </c>
      <c r="C59" s="17">
        <v>3.0</v>
      </c>
      <c r="D59" s="17">
        <v>1.0</v>
      </c>
      <c r="E59" s="28"/>
      <c r="F59" s="19">
        <v>53.0</v>
      </c>
      <c r="G59" s="17">
        <v>76.0</v>
      </c>
      <c r="H59" s="57" t="inlineStr">
        <is>
          <t>T. Elektro, T. Biomedik, T. Komputer, Teknik Informatika, Teknologi Informasi, Telkom, Rpl, Rka</t>
        </is>
      </c>
      <c r="I59" s="17" t="s">
        <v>158</v>
      </c>
      <c r="J59" s="17" t="s">
        <v>27</v>
      </c>
      <c r="K59" s="22" t="s">
        <v>24</v>
      </c>
      <c r="L59" s="23" t="s">
        <v>108</v>
      </c>
      <c r="M59" s="32"/>
      <c r="N59" s="25"/>
      <c r="O59" s="33" t="s">
        <v>77</v>
      </c>
      <c r="P59" s="27" t="str">
        <f>VLOOKUP(O59,Sheet1!$B$3:$D$55,3,FALSE)</f>
        <v>KLIK UNTUK CHAT</v>
      </c>
    </row>
    <row r="60" ht="27.75" customHeight="1">
      <c r="A60" s="17" t="s">
        <v>18</v>
      </c>
      <c r="B60" s="17" t="s">
        <v>19</v>
      </c>
      <c r="C60" s="17">
        <v>3.0</v>
      </c>
      <c r="D60" s="17">
        <v>1.0</v>
      </c>
      <c r="E60" s="28"/>
      <c r="F60" s="19">
        <v>54.0</v>
      </c>
      <c r="G60" s="17">
        <v>76.0</v>
      </c>
      <c r="H60" s="57" t="inlineStr">
        <is>
          <t>T. Elektro, T. Biomedik, T. Komputer, Teknik Informatika, Teknologi Informasi, Telkom, Rpl, Rka</t>
        </is>
      </c>
      <c r="I60" s="17" t="s">
        <v>158</v>
      </c>
      <c r="J60" s="17" t="s">
        <v>32</v>
      </c>
      <c r="K60" s="22" t="s">
        <v>24</v>
      </c>
      <c r="L60" s="31" t="s">
        <v>166</v>
      </c>
      <c r="M60" s="25"/>
      <c r="N60" s="58"/>
      <c r="O60" s="33" t="s">
        <v>167</v>
      </c>
      <c r="P60" s="27" t="str">
        <f>VLOOKUP(O60,Sheet1!$B$3:$D$55,3,FALSE)</f>
        <v>KLIK UNTUK CHAT</v>
      </c>
    </row>
    <row r="61" ht="27.75" customHeight="1">
      <c r="A61" s="17" t="s">
        <v>18</v>
      </c>
      <c r="B61" s="17" t="s">
        <v>19</v>
      </c>
      <c r="C61" s="17">
        <v>3.0</v>
      </c>
      <c r="D61" s="17">
        <v>1.0</v>
      </c>
      <c r="E61" s="28"/>
      <c r="F61" s="19">
        <v>55.0</v>
      </c>
      <c r="G61" s="17">
        <v>76.0</v>
      </c>
      <c r="H61" s="57" t="inlineStr">
        <is>
          <t>T. Elektro, T. Biomedik, T. Komputer, Teknik Informatika, Teknologi Informasi, Telkom, Rpl, Rka</t>
        </is>
      </c>
      <c r="I61" s="17" t="s">
        <v>158</v>
      </c>
      <c r="J61" s="17" t="s">
        <v>37</v>
      </c>
      <c r="K61" s="22" t="s">
        <v>38</v>
      </c>
      <c r="L61" s="31" t="s">
        <v>66</v>
      </c>
      <c r="M61" s="32" t="s">
        <v>29</v>
      </c>
      <c r="N61" s="25" t="s">
        <v>30</v>
      </c>
      <c r="O61" s="26" t="s">
        <v>168</v>
      </c>
      <c r="P61" s="27" t="str">
        <f>VLOOKUP(O61,Sheet1!$B$3:$D$55,3,FALSE)</f>
        <v>KLIK UNTUK CHAT</v>
      </c>
    </row>
    <row r="62" ht="27.75" customHeight="1">
      <c r="A62" s="17" t="s">
        <v>18</v>
      </c>
      <c r="B62" s="17" t="s">
        <v>19</v>
      </c>
      <c r="C62" s="17">
        <v>3.0</v>
      </c>
      <c r="D62" s="17">
        <v>1.0</v>
      </c>
      <c r="E62" s="28"/>
      <c r="F62" s="19">
        <v>56.0</v>
      </c>
      <c r="G62" s="17">
        <v>76.0</v>
      </c>
      <c r="H62" s="57" t="inlineStr">
        <is>
          <t>T. Elektro, T. Biomedik, T. Komputer, Teknik Informatika, Teknologi Informasi, Telkom, Rpl, Rka</t>
        </is>
      </c>
      <c r="I62" s="17" t="s">
        <v>158</v>
      </c>
      <c r="J62" s="17" t="s">
        <v>41</v>
      </c>
      <c r="K62" s="22" t="s">
        <v>38</v>
      </c>
      <c r="L62" s="31" t="s">
        <v>169</v>
      </c>
      <c r="M62" s="32" t="s">
        <v>34</v>
      </c>
      <c r="N62" s="25" t="s">
        <v>35</v>
      </c>
      <c r="O62" s="33" t="s">
        <v>170</v>
      </c>
      <c r="P62" s="27" t="str">
        <f>VLOOKUP(O62,Sheet1!$B$3:$D$55,3,FALSE)</f>
        <v>KLIK UNTUK CHAT</v>
      </c>
    </row>
    <row r="63" ht="27.75" customHeight="1">
      <c r="A63" s="17" t="s">
        <v>18</v>
      </c>
      <c r="B63" s="17" t="s">
        <v>19</v>
      </c>
      <c r="C63" s="17">
        <v>3.0</v>
      </c>
      <c r="D63" s="17">
        <v>1.0</v>
      </c>
      <c r="E63" s="28"/>
      <c r="F63" s="19">
        <v>57.0</v>
      </c>
      <c r="G63" s="17">
        <v>76.0</v>
      </c>
      <c r="H63" s="57" t="inlineStr">
        <is>
          <t>T. Elektro, T. Biomedik, T. Komputer, Teknik Informatika, Teknologi Informasi, Telkom, Rpl, Rka</t>
        </is>
      </c>
      <c r="I63" s="17" t="s">
        <v>158</v>
      </c>
      <c r="J63" s="17" t="s">
        <v>43</v>
      </c>
      <c r="K63" s="22" t="s">
        <v>38</v>
      </c>
      <c r="L63" s="23" t="s">
        <v>171</v>
      </c>
      <c r="M63" s="32"/>
      <c r="N63" s="25"/>
      <c r="O63" s="33" t="s">
        <v>99</v>
      </c>
      <c r="P63" s="27" t="str">
        <f>VLOOKUP(O63,Sheet1!$B$3:$D$55,3,FALSE)</f>
        <v>KLIK UNTUK CHAT</v>
      </c>
    </row>
    <row r="64" ht="27.75" customHeight="1">
      <c r="A64" s="17" t="s">
        <v>18</v>
      </c>
      <c r="B64" s="17" t="s">
        <v>19</v>
      </c>
      <c r="C64" s="17">
        <v>3.0</v>
      </c>
      <c r="D64" s="17">
        <v>1.0</v>
      </c>
      <c r="E64" s="28"/>
      <c r="F64" s="19">
        <v>58.0</v>
      </c>
      <c r="G64" s="17">
        <v>76.0</v>
      </c>
      <c r="H64" s="57" t="inlineStr">
        <is>
          <t>T. Elektro, T. Biomedik, T. Komputer, Teknik Informatika, Teknologi Informasi, Telkom, Rpl, Rka</t>
        </is>
      </c>
      <c r="I64" s="17" t="s">
        <v>158</v>
      </c>
      <c r="J64" s="17" t="s">
        <v>46</v>
      </c>
      <c r="K64" s="22" t="s">
        <v>38</v>
      </c>
      <c r="L64" s="23" t="s">
        <v>172</v>
      </c>
      <c r="M64" s="32" t="s">
        <v>83</v>
      </c>
      <c r="N64" s="25" t="s">
        <v>173</v>
      </c>
      <c r="O64" s="33" t="s">
        <v>174</v>
      </c>
      <c r="P64" s="27" t="str">
        <f>VLOOKUP(O64,Sheet1!$B$3:$D$55,3,FALSE)</f>
        <v>KLIK UNTUK CHAT</v>
      </c>
    </row>
    <row r="65" ht="27.75" customHeight="1">
      <c r="A65" s="17" t="s">
        <v>18</v>
      </c>
      <c r="B65" s="17" t="s">
        <v>19</v>
      </c>
      <c r="C65" s="17">
        <v>3.0</v>
      </c>
      <c r="D65" s="17">
        <v>1.0</v>
      </c>
      <c r="E65" s="28"/>
      <c r="F65" s="19">
        <v>59.0</v>
      </c>
      <c r="G65" s="17">
        <v>75.0</v>
      </c>
      <c r="H65" s="57" t="inlineStr">
        <is>
          <t>T. Elektro, T. Biomedik, T. Komputer, Teknik Informatika, Teknologi Informasi, Telkom, Rpl, Rka</t>
        </is>
      </c>
      <c r="I65" s="17" t="s">
        <v>158</v>
      </c>
      <c r="J65" s="17" t="s">
        <v>49</v>
      </c>
      <c r="K65" s="22" t="s">
        <v>50</v>
      </c>
      <c r="L65" s="31" t="s">
        <v>175</v>
      </c>
      <c r="M65" s="32" t="s">
        <v>29</v>
      </c>
      <c r="N65" s="25" t="s">
        <v>30</v>
      </c>
      <c r="O65" s="26" t="s">
        <v>176</v>
      </c>
      <c r="P65" s="27" t="str">
        <f>VLOOKUP(O65,Sheet1!$B$3:$D$55,3,FALSE)</f>
        <v>KLIK UNTUK CHAT</v>
      </c>
    </row>
    <row r="66" ht="27.75" customHeight="1">
      <c r="A66" s="36" t="s">
        <v>18</v>
      </c>
      <c r="B66" s="36" t="s">
        <v>19</v>
      </c>
      <c r="C66" s="36">
        <v>3.0</v>
      </c>
      <c r="D66" s="36" t="s">
        <v>55</v>
      </c>
      <c r="E66" s="55"/>
      <c r="F66" s="38">
        <v>111.0</v>
      </c>
      <c r="G66" s="36">
        <v>83.0</v>
      </c>
      <c r="H66" s="59" t="inlineStr">
        <is>
          <t>T. Elektro, T. Biomedik, T. Komputer, Teknik Informatika, Teknologi Informasi, Telkom, Rpl, Rka</t>
        </is>
      </c>
      <c r="I66" s="36" t="s">
        <v>158</v>
      </c>
      <c r="J66" s="36" t="s">
        <v>78</v>
      </c>
      <c r="K66" s="40" t="s">
        <v>79</v>
      </c>
      <c r="L66" s="41" t="s">
        <v>177</v>
      </c>
      <c r="M66" s="32" t="s">
        <v>34</v>
      </c>
      <c r="N66" s="25" t="s">
        <v>35</v>
      </c>
      <c r="O66" s="33" t="s">
        <v>111</v>
      </c>
      <c r="P66" s="27" t="str">
        <f>VLOOKUP(O66,Sheet1!$B$3:$D$55,3,FALSE)</f>
        <v>KLIK UNTUK CHAT</v>
      </c>
    </row>
    <row r="67" ht="27.75" customHeight="1">
      <c r="A67" s="60" t="s">
        <v>178</v>
      </c>
      <c r="B67" s="60" t="s">
        <v>179</v>
      </c>
      <c r="C67" s="60">
        <v>2.0</v>
      </c>
      <c r="D67" s="60">
        <v>1.0</v>
      </c>
      <c r="E67" s="46" t="s">
        <v>180</v>
      </c>
      <c r="F67" s="47">
        <v>1.0</v>
      </c>
      <c r="G67" s="45">
        <v>75.0</v>
      </c>
      <c r="H67" s="61" t="inlineStr">
        <is>
          <t>Sistem Informasi, Manajemen Bisnis, Studi Pembangunan, Bdigt</t>
        </is>
      </c>
      <c r="I67" s="45" t="s">
        <v>182</v>
      </c>
      <c r="J67" s="45" t="s">
        <v>62</v>
      </c>
      <c r="K67" s="49" t="s">
        <v>63</v>
      </c>
      <c r="L67" s="50" t="s">
        <v>183</v>
      </c>
      <c r="M67" s="51"/>
      <c r="N67" s="52"/>
      <c r="O67" s="45"/>
      <c r="P67" s="62"/>
    </row>
    <row r="68" ht="27.75" customHeight="1">
      <c r="A68" s="60" t="s">
        <v>178</v>
      </c>
      <c r="B68" s="60" t="s">
        <v>179</v>
      </c>
      <c r="C68" s="60">
        <v>2.0</v>
      </c>
      <c r="D68" s="60">
        <v>1.0</v>
      </c>
      <c r="E68" s="28"/>
      <c r="F68" s="47">
        <v>2.0</v>
      </c>
      <c r="G68" s="45">
        <v>70.0</v>
      </c>
      <c r="H68" s="61" t="inlineStr">
        <is>
          <t>Sistem Informasi, Manajemen Bisnis, Studi Pembangunan, Bdigt</t>
        </is>
      </c>
      <c r="I68" s="45" t="s">
        <v>182</v>
      </c>
      <c r="J68" s="45" t="s">
        <v>65</v>
      </c>
      <c r="K68" s="49" t="s">
        <v>63</v>
      </c>
      <c r="L68" s="50" t="s">
        <v>184</v>
      </c>
      <c r="M68" s="63" t="s">
        <v>185</v>
      </c>
      <c r="N68" s="52" t="s">
        <v>186</v>
      </c>
      <c r="O68" s="45"/>
      <c r="P68" s="62"/>
    </row>
    <row r="69" ht="27.75" customHeight="1">
      <c r="A69" s="60" t="s">
        <v>178</v>
      </c>
      <c r="B69" s="60" t="s">
        <v>179</v>
      </c>
      <c r="C69" s="60">
        <v>2.0</v>
      </c>
      <c r="D69" s="60">
        <v>1.0</v>
      </c>
      <c r="E69" s="28"/>
      <c r="F69" s="47">
        <v>3.0</v>
      </c>
      <c r="G69" s="45">
        <v>69.0</v>
      </c>
      <c r="H69" s="61" t="inlineStr">
        <is>
          <t>Sistem Informasi, Manajemen Bisnis, Studi Pembangunan, Bdigt</t>
        </is>
      </c>
      <c r="I69" s="45" t="s">
        <v>182</v>
      </c>
      <c r="J69" s="45" t="s">
        <v>68</v>
      </c>
      <c r="K69" s="49" t="s">
        <v>63</v>
      </c>
      <c r="L69" s="50" t="s">
        <v>187</v>
      </c>
      <c r="M69" s="51"/>
      <c r="N69" s="52"/>
      <c r="O69" s="45"/>
      <c r="P69" s="62"/>
    </row>
    <row r="70" ht="27.75" customHeight="1">
      <c r="A70" s="60" t="s">
        <v>178</v>
      </c>
      <c r="B70" s="60" t="s">
        <v>179</v>
      </c>
      <c r="C70" s="60">
        <v>2.0</v>
      </c>
      <c r="D70" s="60">
        <v>1.0</v>
      </c>
      <c r="E70" s="28"/>
      <c r="F70" s="47">
        <v>4.0</v>
      </c>
      <c r="G70" s="45">
        <v>69.0</v>
      </c>
      <c r="H70" s="61" t="inlineStr">
        <is>
          <t>Sistem Informasi, Manajemen Bisnis, Studi Pembangunan, Bdigt</t>
        </is>
      </c>
      <c r="I70" s="45" t="s">
        <v>182</v>
      </c>
      <c r="J70" s="45" t="s">
        <v>73</v>
      </c>
      <c r="K70" s="49" t="s">
        <v>63</v>
      </c>
      <c r="L70" s="50" t="s">
        <v>188</v>
      </c>
      <c r="M70" s="63"/>
      <c r="N70" s="52"/>
      <c r="O70" s="45"/>
      <c r="P70" s="62"/>
    </row>
    <row r="71" ht="27.75" customHeight="1">
      <c r="A71" s="60" t="s">
        <v>178</v>
      </c>
      <c r="B71" s="60" t="s">
        <v>179</v>
      </c>
      <c r="C71" s="60">
        <v>2.0</v>
      </c>
      <c r="D71" s="60">
        <v>1.0</v>
      </c>
      <c r="E71" s="28"/>
      <c r="F71" s="47">
        <v>5.0</v>
      </c>
      <c r="G71" s="45">
        <v>69.0</v>
      </c>
      <c r="H71" s="61" t="inlineStr">
        <is>
          <t>Sistem Informasi, Manajemen Bisnis, Studi Pembangunan, Bdigt</t>
        </is>
      </c>
      <c r="I71" s="45" t="s">
        <v>182</v>
      </c>
      <c r="J71" s="45" t="s">
        <v>76</v>
      </c>
      <c r="K71" s="49" t="s">
        <v>63</v>
      </c>
      <c r="L71" s="50" t="s">
        <v>189</v>
      </c>
      <c r="M71" s="51"/>
      <c r="N71" s="52"/>
      <c r="O71" s="45"/>
      <c r="P71" s="62"/>
    </row>
    <row r="72" ht="27.75" customHeight="1">
      <c r="A72" s="60" t="s">
        <v>178</v>
      </c>
      <c r="B72" s="60" t="s">
        <v>179</v>
      </c>
      <c r="C72" s="60">
        <v>2.0</v>
      </c>
      <c r="D72" s="60">
        <v>1.0</v>
      </c>
      <c r="E72" s="28"/>
      <c r="F72" s="47">
        <v>6.0</v>
      </c>
      <c r="G72" s="45">
        <v>69.0</v>
      </c>
      <c r="H72" s="61" t="inlineStr">
        <is>
          <t>Sistem Informasi, Manajemen Bisnis, Studi Pembangunan, Bdigt</t>
        </is>
      </c>
      <c r="I72" s="45" t="s">
        <v>182</v>
      </c>
      <c r="J72" s="45" t="s">
        <v>78</v>
      </c>
      <c r="K72" s="49" t="s">
        <v>79</v>
      </c>
      <c r="L72" s="50" t="s">
        <v>171</v>
      </c>
      <c r="M72" s="51"/>
      <c r="N72" s="52"/>
      <c r="O72" s="45"/>
      <c r="P72" s="62"/>
    </row>
    <row r="73" ht="27.75" customHeight="1">
      <c r="A73" s="60" t="s">
        <v>178</v>
      </c>
      <c r="B73" s="60" t="s">
        <v>179</v>
      </c>
      <c r="C73" s="60">
        <v>2.0</v>
      </c>
      <c r="D73" s="60">
        <v>1.0</v>
      </c>
      <c r="E73" s="37"/>
      <c r="F73" s="47">
        <v>7.0</v>
      </c>
      <c r="G73" s="45">
        <v>69.0</v>
      </c>
      <c r="H73" s="61" t="inlineStr">
        <is>
          <t>Sistem Informasi, Manajemen Bisnis, Studi Pembangunan, Bdigt</t>
        </is>
      </c>
      <c r="I73" s="45" t="s">
        <v>182</v>
      </c>
      <c r="J73" s="45" t="s">
        <v>49</v>
      </c>
      <c r="K73" s="49" t="s">
        <v>50</v>
      </c>
      <c r="L73" s="50" t="s">
        <v>190</v>
      </c>
      <c r="M73" s="64" t="s">
        <v>185</v>
      </c>
      <c r="N73" s="52" t="s">
        <v>186</v>
      </c>
      <c r="O73" s="45"/>
      <c r="P73" s="62"/>
    </row>
    <row r="74" ht="27.75" customHeight="1">
      <c r="A74" s="17" t="s">
        <v>191</v>
      </c>
      <c r="B74" s="17" t="s">
        <v>179</v>
      </c>
      <c r="C74" s="17">
        <v>3.0</v>
      </c>
      <c r="D74" s="17">
        <v>1.0</v>
      </c>
      <c r="E74" s="18" t="s">
        <v>192</v>
      </c>
      <c r="F74" s="19">
        <v>1.0</v>
      </c>
      <c r="G74" s="17">
        <v>77.0</v>
      </c>
      <c r="H74" s="57" t="inlineStr">
        <is>
          <t>Inov, Mhs Ulang</t>
        </is>
      </c>
      <c r="I74" s="17" t="s">
        <v>194</v>
      </c>
      <c r="J74" s="17" t="s">
        <v>62</v>
      </c>
      <c r="K74" s="22" t="s">
        <v>63</v>
      </c>
      <c r="L74" s="31" t="s">
        <v>195</v>
      </c>
      <c r="M74" s="32" t="s">
        <v>34</v>
      </c>
      <c r="N74" s="25" t="s">
        <v>35</v>
      </c>
      <c r="O74" s="33" t="s">
        <v>102</v>
      </c>
      <c r="P74" s="27" t="str">
        <f>VLOOKUP(O74,Sheet1!$B$3:$D$55,3,FALSE)</f>
        <v>KLIK UNTUK CHAT</v>
      </c>
    </row>
    <row r="75" ht="27.75" customHeight="1">
      <c r="A75" s="17" t="s">
        <v>191</v>
      </c>
      <c r="B75" s="17" t="s">
        <v>179</v>
      </c>
      <c r="C75" s="17">
        <v>3.0</v>
      </c>
      <c r="D75" s="17">
        <v>1.0</v>
      </c>
      <c r="E75" s="55"/>
      <c r="F75" s="19">
        <v>3.0</v>
      </c>
      <c r="G75" s="17">
        <v>77.0</v>
      </c>
      <c r="H75" s="57" t="s">
        <v>196</v>
      </c>
      <c r="I75" s="17" t="s">
        <v>194</v>
      </c>
      <c r="J75" s="17" t="s">
        <v>27</v>
      </c>
      <c r="K75" s="22" t="s">
        <v>24</v>
      </c>
      <c r="L75" s="23" t="s">
        <v>197</v>
      </c>
      <c r="M75" s="32"/>
      <c r="N75" s="25"/>
      <c r="O75" s="33" t="s">
        <v>198</v>
      </c>
      <c r="P75" s="27" t="str">
        <f>VLOOKUP(O75,Sheet1!$B$3:$D$55,3,FALSE)</f>
        <v>KLIK UNTUK CHAT</v>
      </c>
    </row>
    <row r="76" ht="27.75" customHeight="1">
      <c r="A76" s="17" t="s">
        <v>191</v>
      </c>
      <c r="B76" s="17" t="s">
        <v>179</v>
      </c>
      <c r="C76" s="17">
        <v>3.0</v>
      </c>
      <c r="D76" s="17">
        <v>1.0</v>
      </c>
      <c r="E76" s="65"/>
      <c r="F76" s="19">
        <v>4.0</v>
      </c>
      <c r="G76" s="17">
        <v>33.0</v>
      </c>
      <c r="H76" s="57" t="s">
        <v>196</v>
      </c>
      <c r="I76" s="17" t="s">
        <v>194</v>
      </c>
      <c r="J76" s="66" t="s">
        <v>199</v>
      </c>
      <c r="K76" s="22" t="s">
        <v>87</v>
      </c>
      <c r="L76" s="23" t="s">
        <v>200</v>
      </c>
      <c r="M76" s="32" t="s">
        <v>34</v>
      </c>
      <c r="N76" s="25" t="s">
        <v>35</v>
      </c>
      <c r="O76" s="33" t="s">
        <v>201</v>
      </c>
      <c r="P76" s="27" t="str">
        <f>VLOOKUP(O76,Sheet1!$B$3:$D$55,3,FALSE)</f>
        <v>KLIK UNTUK CHAT</v>
      </c>
    </row>
    <row r="77" ht="27.75" customHeight="1">
      <c r="A77" s="45" t="s">
        <v>202</v>
      </c>
      <c r="B77" s="45" t="s">
        <v>203</v>
      </c>
      <c r="C77" s="45">
        <v>3.0</v>
      </c>
      <c r="D77" s="45" t="s">
        <v>55</v>
      </c>
      <c r="E77" s="46" t="s">
        <v>204</v>
      </c>
      <c r="F77" s="47">
        <v>1.0</v>
      </c>
      <c r="G77" s="45">
        <v>79.0</v>
      </c>
      <c r="H77" s="61" t="s">
        <v>196</v>
      </c>
      <c r="I77" s="45" t="s">
        <v>205</v>
      </c>
      <c r="J77" s="45" t="s">
        <v>62</v>
      </c>
      <c r="K77" s="49" t="s">
        <v>63</v>
      </c>
      <c r="L77" s="50" t="s">
        <v>206</v>
      </c>
      <c r="M77" s="51"/>
      <c r="N77" s="52"/>
      <c r="O77" s="33" t="s">
        <v>159</v>
      </c>
      <c r="P77" s="27" t="str">
        <f>VLOOKUP(O77,Sheet1!$B$3:$D$55,3,FALSE)</f>
        <v>KLIK UNTUK CHAT</v>
      </c>
    </row>
    <row r="78" ht="27.75" customHeight="1">
      <c r="A78" s="45" t="s">
        <v>202</v>
      </c>
      <c r="B78" s="45" t="s">
        <v>203</v>
      </c>
      <c r="C78" s="45">
        <v>3.0</v>
      </c>
      <c r="D78" s="45" t="s">
        <v>55</v>
      </c>
      <c r="E78" s="28"/>
      <c r="F78" s="47">
        <v>3.0</v>
      </c>
      <c r="G78" s="45">
        <v>78.0</v>
      </c>
      <c r="H78" s="61" t="s">
        <v>196</v>
      </c>
      <c r="I78" s="45" t="s">
        <v>205</v>
      </c>
      <c r="J78" s="45" t="s">
        <v>81</v>
      </c>
      <c r="K78" s="49" t="s">
        <v>79</v>
      </c>
      <c r="L78" s="50" t="s">
        <v>207</v>
      </c>
      <c r="M78" s="51" t="s">
        <v>208</v>
      </c>
      <c r="N78" s="52" t="s">
        <v>35</v>
      </c>
      <c r="O78" s="33" t="s">
        <v>102</v>
      </c>
      <c r="P78" s="27" t="str">
        <f>VLOOKUP(O78,Sheet1!$B$3:$D$55,3,FALSE)</f>
        <v>KLIK UNTUK CHAT</v>
      </c>
    </row>
    <row r="79" ht="27.75" customHeight="1">
      <c r="A79" s="45" t="s">
        <v>202</v>
      </c>
      <c r="B79" s="45" t="s">
        <v>203</v>
      </c>
      <c r="C79" s="45">
        <v>3.0</v>
      </c>
      <c r="D79" s="45" t="s">
        <v>55</v>
      </c>
      <c r="E79" s="28"/>
      <c r="F79" s="47">
        <v>4.0</v>
      </c>
      <c r="G79" s="45">
        <v>79.0</v>
      </c>
      <c r="H79" s="61" t="s">
        <v>196</v>
      </c>
      <c r="I79" s="45" t="s">
        <v>205</v>
      </c>
      <c r="J79" s="45" t="s">
        <v>97</v>
      </c>
      <c r="K79" s="49" t="s">
        <v>79</v>
      </c>
      <c r="L79" s="50" t="s">
        <v>209</v>
      </c>
      <c r="M79" s="51" t="s">
        <v>34</v>
      </c>
      <c r="N79" s="52" t="s">
        <v>35</v>
      </c>
      <c r="O79" s="33" t="s">
        <v>89</v>
      </c>
      <c r="P79" s="27" t="str">
        <f>VLOOKUP(O79,Sheet1!$B$3:$D$55,3,FALSE)</f>
        <v>KLIK UNTUK CHAT</v>
      </c>
    </row>
    <row r="80" ht="27.75" customHeight="1">
      <c r="A80" s="45" t="s">
        <v>202</v>
      </c>
      <c r="B80" s="45" t="s">
        <v>203</v>
      </c>
      <c r="C80" s="45">
        <v>3.0</v>
      </c>
      <c r="D80" s="45" t="s">
        <v>55</v>
      </c>
      <c r="E80" s="28"/>
      <c r="F80" s="47">
        <v>5.0</v>
      </c>
      <c r="G80" s="45">
        <v>79.0</v>
      </c>
      <c r="H80" s="61" t="s">
        <v>196</v>
      </c>
      <c r="I80" s="45" t="s">
        <v>205</v>
      </c>
      <c r="J80" s="45" t="s">
        <v>100</v>
      </c>
      <c r="K80" s="49" t="s">
        <v>79</v>
      </c>
      <c r="L80" s="50" t="s">
        <v>210</v>
      </c>
      <c r="M80" s="51" t="s">
        <v>34</v>
      </c>
      <c r="N80" s="52" t="s">
        <v>35</v>
      </c>
      <c r="O80" s="26" t="s">
        <v>72</v>
      </c>
      <c r="P80" s="27" t="str">
        <f>VLOOKUP(O80,Sheet1!$B$3:$D$55,3,FALSE)</f>
        <v>KLIK UNTUK CHAT</v>
      </c>
    </row>
    <row r="81" ht="27.75" customHeight="1">
      <c r="A81" s="45" t="s">
        <v>202</v>
      </c>
      <c r="B81" s="45" t="s">
        <v>203</v>
      </c>
      <c r="C81" s="45">
        <v>3.0</v>
      </c>
      <c r="D81" s="45" t="s">
        <v>55</v>
      </c>
      <c r="E81" s="28"/>
      <c r="F81" s="47">
        <v>6.0</v>
      </c>
      <c r="G81" s="45">
        <v>79.0</v>
      </c>
      <c r="H81" s="61" t="s">
        <v>196</v>
      </c>
      <c r="I81" s="45" t="s">
        <v>205</v>
      </c>
      <c r="J81" s="45" t="s">
        <v>103</v>
      </c>
      <c r="K81" s="49" t="s">
        <v>79</v>
      </c>
      <c r="L81" s="67" t="s">
        <v>211</v>
      </c>
      <c r="M81" s="51" t="s">
        <v>29</v>
      </c>
      <c r="N81" s="52" t="s">
        <v>30</v>
      </c>
      <c r="O81" s="33" t="s">
        <v>96</v>
      </c>
      <c r="P81" s="27" t="str">
        <f>VLOOKUP(O81,Sheet1!$B$3:$D$55,3,FALSE)</f>
        <v>KLIK UNTUK CHAT</v>
      </c>
    </row>
    <row r="82" ht="27.75" customHeight="1">
      <c r="A82" s="45" t="s">
        <v>202</v>
      </c>
      <c r="B82" s="45" t="s">
        <v>203</v>
      </c>
      <c r="C82" s="45">
        <v>3.0</v>
      </c>
      <c r="D82" s="45" t="s">
        <v>55</v>
      </c>
      <c r="E82" s="55"/>
      <c r="F82" s="47">
        <v>7.0</v>
      </c>
      <c r="G82" s="45">
        <v>78.0</v>
      </c>
      <c r="H82" s="61" t="s">
        <v>196</v>
      </c>
      <c r="I82" s="45" t="s">
        <v>205</v>
      </c>
      <c r="J82" s="45" t="s">
        <v>104</v>
      </c>
      <c r="K82" s="49" t="s">
        <v>24</v>
      </c>
      <c r="L82" s="50" t="s">
        <v>212</v>
      </c>
      <c r="M82" s="51" t="s">
        <v>70</v>
      </c>
      <c r="N82" s="52" t="s">
        <v>71</v>
      </c>
      <c r="O82" s="33" t="s">
        <v>75</v>
      </c>
      <c r="P82" s="27" t="str">
        <f>VLOOKUP(O82,Sheet1!$B$3:$D$55,3,FALSE)</f>
        <v>KLIK UNTUK CHAT</v>
      </c>
    </row>
    <row r="83" ht="27.75" customHeight="1">
      <c r="A83" s="5"/>
      <c r="B83" s="3"/>
      <c r="C83" s="5"/>
      <c r="D83" s="5"/>
      <c r="E83" s="5"/>
      <c r="F83" s="3">
        <f>COUNT(F5:F82)</f>
        <v>78</v>
      </c>
      <c r="G83" s="3">
        <f>SUM(G5:G82)</f>
        <v>5768</v>
      </c>
      <c r="H83" s="68"/>
      <c r="I83" s="5"/>
      <c r="J83" s="5"/>
      <c r="K83" s="5"/>
      <c r="L83" s="6"/>
      <c r="M83" s="7"/>
      <c r="N83" s="7"/>
      <c r="O83" s="5"/>
      <c r="P83" s="69"/>
    </row>
    <row r="84" ht="27.75" customHeight="1">
      <c r="A84" s="70" t="s">
        <v>3</v>
      </c>
      <c r="B84" s="70" t="s">
        <v>213</v>
      </c>
      <c r="C84" s="70" t="s">
        <v>5</v>
      </c>
      <c r="D84" s="70" t="s">
        <v>6</v>
      </c>
      <c r="E84" s="70" t="s">
        <v>7</v>
      </c>
      <c r="F84" s="10" t="s">
        <v>8</v>
      </c>
      <c r="G84" s="11" t="s">
        <v>9</v>
      </c>
      <c r="H84" s="71" t="inlineStr">
        <is>
          <t>Departemen</t>
        </is>
      </c>
      <c r="I84" s="70" t="s">
        <v>11</v>
      </c>
      <c r="J84" s="70" t="s">
        <v>12</v>
      </c>
      <c r="K84" s="72" t="s">
        <v>13</v>
      </c>
      <c r="L84" s="70" t="s">
        <v>14</v>
      </c>
      <c r="M84" s="73" t="s">
        <v>15</v>
      </c>
      <c r="N84" s="74" t="s">
        <v>5</v>
      </c>
      <c r="O84" s="75" t="s">
        <v>16</v>
      </c>
      <c r="P84" s="76" t="s">
        <v>215</v>
      </c>
    </row>
    <row r="85" ht="27.75" customHeight="1">
      <c r="A85" s="17" t="s">
        <v>18</v>
      </c>
      <c r="B85" s="17" t="s">
        <v>19</v>
      </c>
      <c r="C85" s="17">
        <v>3.0</v>
      </c>
      <c r="D85" s="17">
        <v>1.0</v>
      </c>
      <c r="E85" s="18" t="s">
        <v>216</v>
      </c>
      <c r="F85" s="19">
        <v>1.0</v>
      </c>
      <c r="G85" s="17">
        <v>24.0</v>
      </c>
      <c r="H85" s="57" t="inlineStr">
        <is>
          <t>Statistika, T. Elektro, Teknik Informatika</t>
        </is>
      </c>
      <c r="I85" s="17" t="s">
        <v>22</v>
      </c>
      <c r="J85" s="17" t="s">
        <v>218</v>
      </c>
      <c r="K85" s="22" t="s">
        <v>38</v>
      </c>
      <c r="L85" s="31" t="s">
        <v>130</v>
      </c>
      <c r="M85" s="32"/>
      <c r="N85" s="25"/>
      <c r="O85" s="33" t="s">
        <v>167</v>
      </c>
      <c r="P85" s="27" t="str">
        <f>VLOOKUP(O85,Sheet1!$B$3:$D$55,3,FALSE)</f>
        <v>KLIK UNTUK CHAT</v>
      </c>
    </row>
    <row r="86" ht="27.75" customHeight="1">
      <c r="A86" s="17" t="s">
        <v>18</v>
      </c>
      <c r="B86" s="17" t="s">
        <v>19</v>
      </c>
      <c r="C86" s="17">
        <v>3.0</v>
      </c>
      <c r="D86" s="17">
        <v>1.0</v>
      </c>
      <c r="E86" s="55"/>
      <c r="F86" s="77">
        <v>60.0</v>
      </c>
      <c r="G86" s="17">
        <v>23.0</v>
      </c>
      <c r="H86" s="57" t="inlineStr">
        <is>
          <t>Statistika, T. Elektro, Teknik Informatika</t>
        </is>
      </c>
      <c r="I86" s="17" t="s">
        <v>22</v>
      </c>
      <c r="J86" s="17" t="s">
        <v>219</v>
      </c>
      <c r="K86" s="22" t="s">
        <v>50</v>
      </c>
      <c r="L86" s="31" t="s">
        <v>220</v>
      </c>
      <c r="M86" s="78"/>
      <c r="N86" s="25"/>
      <c r="O86" s="26" t="s">
        <v>151</v>
      </c>
      <c r="P86" s="27" t="str">
        <f>VLOOKUP(O86,Sheet1!$B$3:$D$55,3,FALSE)</f>
        <v>KLIK UNTUK CHAT</v>
      </c>
    </row>
    <row r="87" ht="27.75" customHeight="1">
      <c r="A87" s="79" t="s">
        <v>18</v>
      </c>
      <c r="B87" s="79" t="s">
        <v>19</v>
      </c>
      <c r="C87" s="79">
        <v>3.0</v>
      </c>
      <c r="D87" s="79">
        <v>1.0</v>
      </c>
      <c r="E87" s="80" t="s">
        <v>221</v>
      </c>
      <c r="F87" s="81">
        <v>2.0</v>
      </c>
      <c r="G87" s="79">
        <v>30.0</v>
      </c>
      <c r="H87" s="82" t="inlineStr">
        <is>
          <t>T. Perkapalan, KaplJD, SisklJD</t>
        </is>
      </c>
      <c r="I87" s="79" t="s">
        <v>223</v>
      </c>
      <c r="J87" s="79" t="s">
        <v>224</v>
      </c>
      <c r="K87" s="83" t="s">
        <v>24</v>
      </c>
      <c r="L87" s="84" t="s">
        <v>225</v>
      </c>
      <c r="M87" s="32"/>
      <c r="N87" s="25"/>
      <c r="O87" s="33" t="s">
        <v>146</v>
      </c>
      <c r="P87" s="27" t="str">
        <f>VLOOKUP(O87,Sheet1!$B$3:$D$55,3,FALSE)</f>
        <v>KLIK UNTUK CHAT</v>
      </c>
    </row>
    <row r="88" ht="27.75" customHeight="1">
      <c r="A88" s="79" t="s">
        <v>18</v>
      </c>
      <c r="B88" s="79" t="s">
        <v>19</v>
      </c>
      <c r="C88" s="79">
        <v>3.0</v>
      </c>
      <c r="D88" s="79">
        <v>1.0</v>
      </c>
      <c r="E88" s="37"/>
      <c r="F88" s="85">
        <v>61.0</v>
      </c>
      <c r="G88" s="79">
        <v>30.0</v>
      </c>
      <c r="H88" s="82" t="inlineStr">
        <is>
          <t>T. Perkapalan, KaplJD, SisklJD</t>
        </is>
      </c>
      <c r="I88" s="79" t="s">
        <v>223</v>
      </c>
      <c r="J88" s="79" t="s">
        <v>218</v>
      </c>
      <c r="K88" s="83" t="s">
        <v>38</v>
      </c>
      <c r="L88" s="84" t="s">
        <v>226</v>
      </c>
      <c r="M88" s="32" t="s">
        <v>29</v>
      </c>
      <c r="N88" s="25"/>
      <c r="O88" s="33" t="s">
        <v>126</v>
      </c>
      <c r="P88" s="27" t="str">
        <f>VLOOKUP(O88,Sheet1!$B$3:$D$55,3,FALSE)</f>
        <v>KLIK UNTUK CHAT</v>
      </c>
    </row>
    <row r="89" ht="27.75" customHeight="1">
      <c r="A89" s="17" t="s">
        <v>18</v>
      </c>
      <c r="B89" s="17" t="s">
        <v>19</v>
      </c>
      <c r="C89" s="17">
        <v>3.0</v>
      </c>
      <c r="D89" s="17">
        <v>1.0</v>
      </c>
      <c r="E89" s="86" t="s">
        <v>227</v>
      </c>
      <c r="F89" s="19">
        <v>3.0</v>
      </c>
      <c r="G89" s="17">
        <v>24.0</v>
      </c>
      <c r="H89" s="35" t="inlineStr">
        <is>
          <t>T. Sipil, T. Lingkungan, T. Geomatika, T. Geofisika</t>
        </is>
      </c>
      <c r="I89" s="17" t="s">
        <v>194</v>
      </c>
      <c r="J89" s="17" t="s">
        <v>224</v>
      </c>
      <c r="K89" s="22" t="s">
        <v>24</v>
      </c>
      <c r="L89" s="31" t="s">
        <v>189</v>
      </c>
      <c r="M89" s="32"/>
      <c r="N89" s="25"/>
      <c r="O89" s="87" t="s">
        <v>229</v>
      </c>
      <c r="P89" s="27" t="str">
        <f>VLOOKUP(O89,Sheet1!$B$3:$D$55,3,FALSE)</f>
        <v>KLIK UNTUK CHAT</v>
      </c>
    </row>
    <row r="90" ht="27.75" customHeight="1">
      <c r="A90" s="79" t="s">
        <v>18</v>
      </c>
      <c r="B90" s="79" t="s">
        <v>19</v>
      </c>
      <c r="C90" s="79">
        <v>3.0</v>
      </c>
      <c r="D90" s="79">
        <v>1.0</v>
      </c>
      <c r="E90" s="80" t="s">
        <v>230</v>
      </c>
      <c r="F90" s="81">
        <v>4.0</v>
      </c>
      <c r="G90" s="79">
        <v>29.0</v>
      </c>
      <c r="H90" s="88" t="inlineStr">
        <is>
          <t>T. Mesin, T. Kimia, T. Fisika, Teknik Sistem dan Industri, T. Material dan Metalurgi</t>
        </is>
      </c>
      <c r="I90" s="79" t="s">
        <v>61</v>
      </c>
      <c r="J90" s="79" t="s">
        <v>224</v>
      </c>
      <c r="K90" s="83" t="s">
        <v>24</v>
      </c>
      <c r="L90" s="84" t="s">
        <v>232</v>
      </c>
      <c r="M90" s="32"/>
      <c r="N90" s="25"/>
      <c r="O90" s="33" t="s">
        <v>201</v>
      </c>
      <c r="P90" s="27" t="str">
        <f>VLOOKUP(O90,Sheet1!$B$3:$D$55,3,FALSE)</f>
        <v>KLIK UNTUK CHAT</v>
      </c>
    </row>
    <row r="91" ht="27.75" customHeight="1">
      <c r="A91" s="79" t="s">
        <v>18</v>
      </c>
      <c r="B91" s="79" t="s">
        <v>19</v>
      </c>
      <c r="C91" s="79">
        <v>3.0</v>
      </c>
      <c r="D91" s="79">
        <v>1.0</v>
      </c>
      <c r="E91" s="37"/>
      <c r="F91" s="85">
        <v>62.0</v>
      </c>
      <c r="G91" s="79">
        <v>30.0</v>
      </c>
      <c r="H91" s="88" t="inlineStr">
        <is>
          <t>T. Mesin, T. Kimia, T. Fisika, Teknik Sistem dan Industri, T. Material dan Metalurgi</t>
        </is>
      </c>
      <c r="I91" s="79" t="s">
        <v>61</v>
      </c>
      <c r="J91" s="79" t="s">
        <v>218</v>
      </c>
      <c r="K91" s="83" t="s">
        <v>38</v>
      </c>
      <c r="L91" s="84" t="s">
        <v>233</v>
      </c>
      <c r="M91" s="32" t="s">
        <v>29</v>
      </c>
      <c r="N91" s="25"/>
      <c r="O91" s="33" t="s">
        <v>146</v>
      </c>
      <c r="P91" s="27" t="str">
        <f>VLOOKUP(O91,Sheet1!$B$3:$D$55,3,FALSE)</f>
        <v>KLIK UNTUK CHAT</v>
      </c>
    </row>
    <row r="92" ht="27.75" customHeight="1">
      <c r="A92" s="89" t="s">
        <v>178</v>
      </c>
      <c r="B92" s="89" t="s">
        <v>179</v>
      </c>
      <c r="C92" s="89">
        <v>2.0</v>
      </c>
      <c r="D92" s="17">
        <v>1.0</v>
      </c>
      <c r="E92" s="18" t="s">
        <v>234</v>
      </c>
      <c r="F92" s="19">
        <v>8.0</v>
      </c>
      <c r="G92" s="17">
        <v>23.0</v>
      </c>
      <c r="H92" s="57" t="inlineStr">
        <is>
          <t>Sistem Informasi, Manajemen Bisnis</t>
        </is>
      </c>
      <c r="I92" s="17" t="s">
        <v>236</v>
      </c>
      <c r="J92" s="17" t="s">
        <v>199</v>
      </c>
      <c r="K92" s="22" t="s">
        <v>87</v>
      </c>
      <c r="L92" s="31" t="s">
        <v>237</v>
      </c>
      <c r="M92" s="32" t="s">
        <v>185</v>
      </c>
      <c r="N92" s="25" t="s">
        <v>186</v>
      </c>
      <c r="O92" s="79"/>
      <c r="P92" s="79"/>
    </row>
    <row r="93" ht="27.75" customHeight="1">
      <c r="A93" s="89" t="s">
        <v>178</v>
      </c>
      <c r="B93" s="89" t="s">
        <v>179</v>
      </c>
      <c r="C93" s="89">
        <v>2.0</v>
      </c>
      <c r="D93" s="17">
        <v>1.0</v>
      </c>
      <c r="E93" s="55"/>
      <c r="F93" s="19">
        <v>9.0</v>
      </c>
      <c r="G93" s="17">
        <v>22.0</v>
      </c>
      <c r="H93" s="57" t="inlineStr">
        <is>
          <t>Sistem Informasi, Manajemen Bisnis</t>
        </is>
      </c>
      <c r="I93" s="17" t="s">
        <v>236</v>
      </c>
      <c r="J93" s="17" t="s">
        <v>238</v>
      </c>
      <c r="K93" s="22" t="s">
        <v>79</v>
      </c>
      <c r="L93" s="31" t="s">
        <v>237</v>
      </c>
      <c r="M93" s="32" t="s">
        <v>185</v>
      </c>
      <c r="N93" s="25" t="s">
        <v>186</v>
      </c>
      <c r="O93" s="79"/>
      <c r="P93" s="79"/>
    </row>
    <row r="94" ht="27.75" customHeight="1">
      <c r="A94" s="79" t="s">
        <v>202</v>
      </c>
      <c r="B94" s="79" t="s">
        <v>203</v>
      </c>
      <c r="C94" s="79">
        <v>3.0</v>
      </c>
      <c r="D94" s="79" t="s">
        <v>55</v>
      </c>
      <c r="E94" s="90"/>
      <c r="F94" s="81">
        <v>2.0</v>
      </c>
      <c r="G94" s="79">
        <v>11.0</v>
      </c>
      <c r="H94" s="82" t="s">
        <v>196</v>
      </c>
      <c r="I94" s="79" t="s">
        <v>239</v>
      </c>
      <c r="J94" s="79" t="s">
        <v>224</v>
      </c>
      <c r="K94" s="83" t="s">
        <v>24</v>
      </c>
      <c r="L94" s="84" t="s">
        <v>240</v>
      </c>
      <c r="M94" s="32"/>
      <c r="N94" s="25"/>
      <c r="O94" s="26" t="s">
        <v>151</v>
      </c>
      <c r="P94" s="27" t="str">
        <f>VLOOKUP(O94,Sheet1!$B$3:$D$55,3,FALSE)</f>
        <v>KLIK UNTUK CHAT</v>
      </c>
    </row>
    <row r="95" ht="21.0" customHeight="1">
      <c r="A95" s="91"/>
      <c r="B95" s="5"/>
      <c r="C95" s="92"/>
      <c r="D95" s="92"/>
      <c r="E95" s="5"/>
      <c r="F95" s="3">
        <f>COUNT(F85:F94)</f>
        <v>10</v>
      </c>
      <c r="G95" s="93">
        <f>SUM(G85:G94)</f>
        <v>246</v>
      </c>
      <c r="H95" s="68"/>
      <c r="I95" s="5"/>
      <c r="J95" s="5"/>
      <c r="K95" s="5"/>
      <c r="L95" s="6"/>
      <c r="M95" s="7"/>
      <c r="N95" s="7"/>
      <c r="O95" s="5"/>
      <c r="P95" s="94"/>
    </row>
  </sheetData>
  <mergeCells count="12">
    <mergeCell ref="E77:E82"/>
    <mergeCell ref="E85:E86"/>
    <mergeCell ref="E87:E88"/>
    <mergeCell ref="E90:E91"/>
    <mergeCell ref="E92:E93"/>
    <mergeCell ref="E5:E13"/>
    <mergeCell ref="E14:E21"/>
    <mergeCell ref="E22:E37"/>
    <mergeCell ref="E38:E52"/>
    <mergeCell ref="E53:E66"/>
    <mergeCell ref="E67:E73"/>
    <mergeCell ref="E74:E75"/>
  </mergeCells>
  <printOptions/>
  <pageMargins bottom="0.1968503937007874" footer="0.0" header="0.0" left="0.35433070866141736" right="0.11811023622047245" top="0.11811023622047245"/>
  <pageSetup paperSize="9" orientation="landscape"/>
  <rowBreaks count="2" manualBreakCount="2">
    <brk id="66" man="1"/>
    <brk id="37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45.14"/>
    <col customWidth="1" min="3" max="3" width="27.43"/>
    <col customWidth="1" min="7" max="7" width="21.29"/>
  </cols>
  <sheetData>
    <row r="3">
      <c r="A3" s="95"/>
      <c r="B3" s="96" t="s">
        <v>111</v>
      </c>
      <c r="C3" s="97" t="s">
        <v>241</v>
      </c>
      <c r="D3" s="98" t="str">
        <f t="shared" ref="D3:D55" si="1">HYPERLINK(C3,"KLIK UNTUK CHAT")</f>
        <v>KLIK UNTUK CHAT</v>
      </c>
    </row>
    <row r="4">
      <c r="A4" s="95"/>
      <c r="B4" s="96" t="s">
        <v>151</v>
      </c>
      <c r="C4" s="97" t="s">
        <v>242</v>
      </c>
      <c r="D4" s="98" t="str">
        <f t="shared" si="1"/>
        <v>KLIK UNTUK CHAT</v>
      </c>
    </row>
    <row r="5">
      <c r="A5" s="95"/>
      <c r="B5" s="96" t="s">
        <v>96</v>
      </c>
      <c r="C5" s="97" t="s">
        <v>243</v>
      </c>
      <c r="D5" s="98" t="str">
        <f t="shared" si="1"/>
        <v>KLIK UNTUK CHAT</v>
      </c>
    </row>
    <row r="6">
      <c r="A6" s="95"/>
      <c r="B6" s="96" t="s">
        <v>106</v>
      </c>
      <c r="C6" s="97" t="s">
        <v>244</v>
      </c>
      <c r="D6" s="98" t="str">
        <f t="shared" si="1"/>
        <v>KLIK UNTUK CHAT</v>
      </c>
    </row>
    <row r="7">
      <c r="A7" s="95"/>
      <c r="B7" s="96" t="s">
        <v>40</v>
      </c>
      <c r="C7" s="97" t="s">
        <v>245</v>
      </c>
      <c r="D7" s="98" t="str">
        <f t="shared" si="1"/>
        <v>KLIK UNTUK CHAT</v>
      </c>
    </row>
    <row r="8">
      <c r="A8" s="95"/>
      <c r="B8" s="96" t="s">
        <v>118</v>
      </c>
      <c r="C8" s="97" t="s">
        <v>246</v>
      </c>
      <c r="D8" s="98" t="str">
        <f t="shared" si="1"/>
        <v>KLIK UNTUK CHAT</v>
      </c>
    </row>
    <row r="9">
      <c r="A9" s="95"/>
      <c r="B9" s="96" t="s">
        <v>102</v>
      </c>
      <c r="C9" s="97" t="s">
        <v>247</v>
      </c>
      <c r="D9" s="98" t="str">
        <f t="shared" si="1"/>
        <v>KLIK UNTUK CHAT</v>
      </c>
    </row>
    <row r="10">
      <c r="A10" s="95"/>
      <c r="B10" s="96" t="s">
        <v>138</v>
      </c>
      <c r="C10" s="97" t="s">
        <v>248</v>
      </c>
      <c r="D10" s="98" t="str">
        <f t="shared" si="1"/>
        <v>KLIK UNTUK CHAT</v>
      </c>
    </row>
    <row r="11">
      <c r="A11" s="95"/>
      <c r="B11" s="96" t="s">
        <v>99</v>
      </c>
      <c r="C11" s="97" t="s">
        <v>249</v>
      </c>
      <c r="D11" s="98" t="str">
        <f t="shared" si="1"/>
        <v>KLIK UNTUK CHAT</v>
      </c>
    </row>
    <row r="12">
      <c r="A12" s="95"/>
      <c r="B12" s="96" t="s">
        <v>75</v>
      </c>
      <c r="C12" s="97" t="s">
        <v>250</v>
      </c>
      <c r="D12" s="98" t="str">
        <f t="shared" si="1"/>
        <v>KLIK UNTUK CHAT</v>
      </c>
    </row>
    <row r="13">
      <c r="A13" s="95"/>
      <c r="B13" s="96" t="s">
        <v>80</v>
      </c>
      <c r="C13" s="97" t="s">
        <v>251</v>
      </c>
      <c r="D13" s="98" t="str">
        <f t="shared" si="1"/>
        <v>KLIK UNTUK CHAT</v>
      </c>
    </row>
    <row r="14">
      <c r="A14" s="95"/>
      <c r="B14" s="96" t="s">
        <v>176</v>
      </c>
      <c r="C14" s="97" t="s">
        <v>252</v>
      </c>
      <c r="D14" s="98" t="str">
        <f t="shared" si="1"/>
        <v>KLIK UNTUK CHAT</v>
      </c>
    </row>
    <row r="15">
      <c r="A15" s="95"/>
      <c r="B15" s="96" t="s">
        <v>143</v>
      </c>
      <c r="C15" s="97" t="s">
        <v>253</v>
      </c>
      <c r="D15" s="98" t="str">
        <f t="shared" si="1"/>
        <v>KLIK UNTUK CHAT</v>
      </c>
    </row>
    <row r="16">
      <c r="A16" s="95"/>
      <c r="B16" s="96" t="s">
        <v>126</v>
      </c>
      <c r="C16" s="97" t="s">
        <v>254</v>
      </c>
      <c r="D16" s="98" t="str">
        <f t="shared" si="1"/>
        <v>KLIK UNTUK CHAT</v>
      </c>
    </row>
    <row r="17">
      <c r="A17" s="95"/>
      <c r="B17" s="96" t="s">
        <v>72</v>
      </c>
      <c r="C17" s="97" t="s">
        <v>255</v>
      </c>
      <c r="D17" s="98" t="str">
        <f t="shared" si="1"/>
        <v>KLIK UNTUK CHAT</v>
      </c>
    </row>
    <row r="18">
      <c r="A18" s="95"/>
      <c r="B18" s="96" t="s">
        <v>42</v>
      </c>
      <c r="C18" s="97" t="s">
        <v>256</v>
      </c>
      <c r="D18" s="98" t="str">
        <f t="shared" si="1"/>
        <v>KLIK UNTUK CHAT</v>
      </c>
    </row>
    <row r="19">
      <c r="A19" s="95"/>
      <c r="B19" s="96" t="s">
        <v>89</v>
      </c>
      <c r="C19" s="97" t="s">
        <v>257</v>
      </c>
      <c r="D19" s="98" t="str">
        <f t="shared" si="1"/>
        <v>KLIK UNTUK CHAT</v>
      </c>
    </row>
    <row r="20">
      <c r="A20" s="95"/>
      <c r="B20" s="96" t="s">
        <v>146</v>
      </c>
      <c r="C20" s="97" t="s">
        <v>258</v>
      </c>
      <c r="D20" s="98" t="str">
        <f t="shared" si="1"/>
        <v>KLIK UNTUK CHAT</v>
      </c>
    </row>
    <row r="21">
      <c r="A21" s="95"/>
      <c r="B21" s="96" t="s">
        <v>77</v>
      </c>
      <c r="C21" s="97" t="s">
        <v>259</v>
      </c>
      <c r="D21" s="98" t="str">
        <f t="shared" si="1"/>
        <v>KLIK UNTUK CHAT</v>
      </c>
    </row>
    <row r="22">
      <c r="A22" s="95"/>
      <c r="B22" s="96" t="s">
        <v>159</v>
      </c>
      <c r="C22" s="97" t="s">
        <v>260</v>
      </c>
      <c r="D22" s="98" t="str">
        <f t="shared" si="1"/>
        <v>KLIK UNTUK CHAT</v>
      </c>
    </row>
    <row r="23">
      <c r="A23" s="95"/>
      <c r="B23" s="96" t="s">
        <v>168</v>
      </c>
      <c r="C23" s="97" t="s">
        <v>261</v>
      </c>
      <c r="D23" s="98" t="str">
        <f t="shared" si="1"/>
        <v>KLIK UNTUK CHAT</v>
      </c>
    </row>
    <row r="24">
      <c r="A24" s="95"/>
      <c r="B24" s="96" t="s">
        <v>140</v>
      </c>
      <c r="C24" s="97" t="s">
        <v>262</v>
      </c>
      <c r="D24" s="98" t="str">
        <f t="shared" si="1"/>
        <v>KLIK UNTUK CHAT</v>
      </c>
    </row>
    <row r="25">
      <c r="A25" s="95"/>
      <c r="B25" s="96" t="s">
        <v>58</v>
      </c>
      <c r="C25" s="97" t="s">
        <v>263</v>
      </c>
      <c r="D25" s="98" t="str">
        <f t="shared" si="1"/>
        <v>KLIK UNTUK CHAT</v>
      </c>
    </row>
    <row r="26">
      <c r="A26" s="95"/>
      <c r="B26" s="96" t="s">
        <v>131</v>
      </c>
      <c r="C26" s="97" t="s">
        <v>264</v>
      </c>
      <c r="D26" s="98" t="str">
        <f t="shared" si="1"/>
        <v>KLIK UNTUK CHAT</v>
      </c>
    </row>
    <row r="27">
      <c r="A27" s="95"/>
      <c r="B27" s="96" t="s">
        <v>85</v>
      </c>
      <c r="C27" s="97" t="s">
        <v>265</v>
      </c>
      <c r="D27" s="98" t="str">
        <f t="shared" si="1"/>
        <v>KLIK UNTUK CHAT</v>
      </c>
    </row>
    <row r="28">
      <c r="A28" s="95"/>
      <c r="B28" s="96" t="s">
        <v>48</v>
      </c>
      <c r="C28" s="97" t="s">
        <v>266</v>
      </c>
      <c r="D28" s="98" t="str">
        <f t="shared" si="1"/>
        <v>KLIK UNTUK CHAT</v>
      </c>
    </row>
    <row r="29">
      <c r="A29" s="95"/>
      <c r="B29" s="96" t="s">
        <v>109</v>
      </c>
      <c r="C29" s="97" t="s">
        <v>267</v>
      </c>
      <c r="D29" s="98" t="str">
        <f t="shared" si="1"/>
        <v>KLIK UNTUK CHAT</v>
      </c>
    </row>
    <row r="30">
      <c r="A30" s="95"/>
      <c r="B30" s="96" t="s">
        <v>26</v>
      </c>
      <c r="C30" s="97" t="s">
        <v>268</v>
      </c>
      <c r="D30" s="98" t="str">
        <f t="shared" si="1"/>
        <v>KLIK UNTUK CHAT</v>
      </c>
    </row>
    <row r="31">
      <c r="A31" s="95"/>
      <c r="B31" s="96" t="s">
        <v>124</v>
      </c>
      <c r="C31" s="97" t="s">
        <v>269</v>
      </c>
      <c r="D31" s="98" t="str">
        <f t="shared" si="1"/>
        <v>KLIK UNTUK CHAT</v>
      </c>
    </row>
    <row r="32">
      <c r="A32" s="95"/>
      <c r="B32" s="96" t="s">
        <v>36</v>
      </c>
      <c r="C32" s="97" t="s">
        <v>270</v>
      </c>
      <c r="D32" s="98" t="str">
        <f t="shared" si="1"/>
        <v>KLIK UNTUK CHAT</v>
      </c>
    </row>
    <row r="33">
      <c r="A33" s="95"/>
      <c r="B33" s="96" t="s">
        <v>201</v>
      </c>
      <c r="C33" s="97" t="s">
        <v>271</v>
      </c>
      <c r="D33" s="98" t="str">
        <f t="shared" si="1"/>
        <v>KLIK UNTUK CHAT</v>
      </c>
    </row>
    <row r="34">
      <c r="A34" s="95"/>
      <c r="B34" s="96" t="s">
        <v>141</v>
      </c>
      <c r="C34" s="97" t="s">
        <v>272</v>
      </c>
      <c r="D34" s="98" t="str">
        <f t="shared" si="1"/>
        <v>KLIK UNTUK CHAT</v>
      </c>
    </row>
    <row r="35">
      <c r="A35" s="95"/>
      <c r="B35" s="96" t="s">
        <v>155</v>
      </c>
      <c r="C35" s="97" t="s">
        <v>273</v>
      </c>
      <c r="D35" s="98" t="str">
        <f t="shared" si="1"/>
        <v>KLIK UNTUK CHAT</v>
      </c>
    </row>
    <row r="36">
      <c r="A36" s="95"/>
      <c r="B36" s="96" t="s">
        <v>144</v>
      </c>
      <c r="C36" s="97" t="s">
        <v>274</v>
      </c>
      <c r="D36" s="98" t="str">
        <f t="shared" si="1"/>
        <v>KLIK UNTUK CHAT</v>
      </c>
    </row>
    <row r="37">
      <c r="A37" s="95"/>
      <c r="B37" s="96" t="s">
        <v>67</v>
      </c>
      <c r="C37" s="97" t="s">
        <v>275</v>
      </c>
      <c r="D37" s="98" t="str">
        <f t="shared" si="1"/>
        <v>KLIK UNTUK CHAT</v>
      </c>
    </row>
    <row r="38">
      <c r="A38" s="95"/>
      <c r="B38" s="96" t="s">
        <v>45</v>
      </c>
      <c r="C38" s="97" t="s">
        <v>276</v>
      </c>
      <c r="D38" s="98" t="str">
        <f t="shared" si="1"/>
        <v>KLIK UNTUK CHAT</v>
      </c>
    </row>
    <row r="39">
      <c r="A39" s="95"/>
      <c r="B39" s="96" t="s">
        <v>31</v>
      </c>
      <c r="C39" s="97" t="s">
        <v>277</v>
      </c>
      <c r="D39" s="98" t="str">
        <f t="shared" si="1"/>
        <v>KLIK UNTUK CHAT</v>
      </c>
    </row>
    <row r="40">
      <c r="A40" s="95"/>
      <c r="B40" s="96" t="s">
        <v>198</v>
      </c>
      <c r="C40" s="97" t="s">
        <v>278</v>
      </c>
      <c r="D40" s="98" t="str">
        <f t="shared" si="1"/>
        <v>KLIK UNTUK CHAT</v>
      </c>
    </row>
    <row r="41">
      <c r="A41" s="95"/>
      <c r="B41" s="96" t="s">
        <v>165</v>
      </c>
      <c r="C41" s="97" t="s">
        <v>279</v>
      </c>
      <c r="D41" s="98" t="str">
        <f t="shared" si="1"/>
        <v>KLIK UNTUK CHAT</v>
      </c>
    </row>
    <row r="42">
      <c r="A42" s="95"/>
      <c r="B42" s="96" t="s">
        <v>107</v>
      </c>
      <c r="C42" s="97" t="s">
        <v>280</v>
      </c>
      <c r="D42" s="98" t="str">
        <f t="shared" si="1"/>
        <v>KLIK UNTUK CHAT</v>
      </c>
    </row>
    <row r="43">
      <c r="A43" s="95"/>
      <c r="B43" s="96" t="s">
        <v>134</v>
      </c>
      <c r="C43" s="97" t="s">
        <v>281</v>
      </c>
      <c r="D43" s="98" t="str">
        <f t="shared" si="1"/>
        <v>KLIK UNTUK CHAT</v>
      </c>
    </row>
    <row r="44">
      <c r="A44" s="95"/>
      <c r="B44" s="96" t="s">
        <v>170</v>
      </c>
      <c r="C44" s="97" t="s">
        <v>282</v>
      </c>
      <c r="D44" s="98" t="str">
        <f t="shared" si="1"/>
        <v>KLIK UNTUK CHAT</v>
      </c>
    </row>
    <row r="45">
      <c r="A45" s="95"/>
      <c r="B45" s="96" t="s">
        <v>113</v>
      </c>
      <c r="C45" s="97" t="s">
        <v>283</v>
      </c>
      <c r="D45" s="98" t="str">
        <f t="shared" si="1"/>
        <v>KLIK UNTUK CHAT</v>
      </c>
    </row>
    <row r="46">
      <c r="A46" s="95"/>
      <c r="B46" s="96" t="s">
        <v>167</v>
      </c>
      <c r="C46" s="97" t="s">
        <v>284</v>
      </c>
      <c r="D46" s="98" t="str">
        <f t="shared" si="1"/>
        <v>KLIK UNTUK CHAT</v>
      </c>
    </row>
    <row r="47">
      <c r="A47" s="95"/>
      <c r="B47" s="96" t="s">
        <v>163</v>
      </c>
      <c r="C47" s="97" t="s">
        <v>285</v>
      </c>
      <c r="D47" s="98" t="str">
        <f t="shared" si="1"/>
        <v>KLIK UNTUK CHAT</v>
      </c>
    </row>
    <row r="48">
      <c r="A48" s="95"/>
      <c r="B48" s="96" t="s">
        <v>54</v>
      </c>
      <c r="C48" s="97" t="s">
        <v>286</v>
      </c>
      <c r="D48" s="98" t="str">
        <f t="shared" si="1"/>
        <v>KLIK UNTUK CHAT</v>
      </c>
    </row>
    <row r="49">
      <c r="A49" s="95"/>
      <c r="B49" s="96" t="s">
        <v>136</v>
      </c>
      <c r="C49" s="97" t="s">
        <v>287</v>
      </c>
      <c r="D49" s="98" t="str">
        <f t="shared" si="1"/>
        <v>KLIK UNTUK CHAT</v>
      </c>
    </row>
    <row r="50">
      <c r="A50" s="95"/>
      <c r="B50" s="96" t="s">
        <v>94</v>
      </c>
      <c r="C50" s="97" t="s">
        <v>288</v>
      </c>
      <c r="D50" s="98" t="str">
        <f t="shared" si="1"/>
        <v>KLIK UNTUK CHAT</v>
      </c>
    </row>
    <row r="51">
      <c r="A51" s="95"/>
      <c r="B51" s="96" t="s">
        <v>116</v>
      </c>
      <c r="C51" s="97" t="s">
        <v>289</v>
      </c>
      <c r="D51" s="98" t="str">
        <f t="shared" si="1"/>
        <v>KLIK UNTUK CHAT</v>
      </c>
    </row>
    <row r="52">
      <c r="A52" s="95"/>
      <c r="B52" s="96" t="s">
        <v>120</v>
      </c>
      <c r="C52" s="97" t="s">
        <v>290</v>
      </c>
      <c r="D52" s="98" t="str">
        <f t="shared" si="1"/>
        <v>KLIK UNTUK CHAT</v>
      </c>
    </row>
    <row r="53">
      <c r="A53" s="95"/>
      <c r="B53" s="96" t="s">
        <v>229</v>
      </c>
      <c r="C53" s="97" t="s">
        <v>291</v>
      </c>
      <c r="D53" s="98" t="str">
        <f t="shared" si="1"/>
        <v>KLIK UNTUK CHAT</v>
      </c>
    </row>
    <row r="54">
      <c r="A54" s="95"/>
      <c r="B54" s="96" t="s">
        <v>174</v>
      </c>
      <c r="C54" s="97" t="s">
        <v>292</v>
      </c>
      <c r="D54" s="98" t="str">
        <f t="shared" si="1"/>
        <v>KLIK UNTUK CHAT</v>
      </c>
    </row>
    <row r="55">
      <c r="A55" s="95"/>
      <c r="B55" s="96" t="s">
        <v>132</v>
      </c>
      <c r="C55" s="97" t="s">
        <v>293</v>
      </c>
      <c r="D55" s="98" t="str">
        <f t="shared" si="1"/>
        <v>KLIK UNTUK CHAT</v>
      </c>
    </row>
  </sheetData>
  <hyperlinks>
    <hyperlink r:id="rId1" ref="C11"/>
  </hyperlinks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2017-08-15T02:35:04Z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0x0101009F97D6E491055645AE1C52148117A5DF</vt:lpwstr>
  </property>
  <property fmtid="{D5CDD505-2E9C-101B-9397-08002B2CF9AE}" pid="3" name="MediaServiceImageTags">
    <vt:lpwstr/>
  </property>
</Properties>
</file>